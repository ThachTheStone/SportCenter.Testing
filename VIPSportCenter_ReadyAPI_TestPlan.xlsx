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Tổng quan" sheetId="1" r:id="rId4"/>
    <sheet state="visible" name="2. Phân vai nhóm" sheetId="2" r:id="rId5"/>
    <sheet state="visible" name="3. Những gì cần test" sheetId="3" r:id="rId6"/>
    <sheet state="visible" name="4. Test Cases ReadyAPI" sheetId="4" r:id="rId7"/>
    <sheet state="visible" name="5. Tổng hợp" sheetId="5" r:id="rId8"/>
    <sheet name="NFR Overview" sheetId="6" r:id="rIdNFR6"/>
    <sheet name="NFR Cases" sheetId="7" r:id="rIdNFR7"/>
    <sheet name="NFR Results" sheetId="8" r:id="rIdNFR8"/>
    <sheet name="NFR Defects" sheetId="9" r:id="rIdNFR9"/>
  </sheets>
  <definedNames>
    <definedName hidden="1" localSheetId="1" name="_xlnm._FilterDatabase">'2. Phân vai nhóm'!$A$13:$D$20</definedName>
    <definedName hidden="1" localSheetId="2" name="_xlnm._FilterDatabase">'3. Những gì cần test'!$A$3:$E$10</definedName>
    <definedName hidden="1" localSheetId="3" name="_xlnm._FilterDatabase">'4. Test Cases ReadyAPI'!$A$4:$M$37</definedName>
  </definedNames>
  <calcPr/>
  <extLst>
    <ext uri="GoogleSheetsCustomDataVersion2">
      <go:sheetsCustomData xmlns:go="http://customooxmlschemas.google.com/" r:id="rId9" roundtripDataChecksum="mDD3X9BE2+7BCVrUDLziFfteJMm3gEFcOqz7+kcLCqI="/>
    </ext>
  </extLst>
</workbook>
</file>

<file path=xl/sharedStrings.xml><?xml version="1.0" encoding="utf-8"?>
<sst xmlns="http://schemas.openxmlformats.org/spreadsheetml/2006/main" count="540" uniqueCount="361">
  <si>
    <t>VIP SPORT CENTER – KẾ HOẠCH KIỂM THỬ API BẰNG READYAPI</t>
  </si>
  <si>
    <t>Dự án</t>
  </si>
  <si>
    <t>VIP Sport Center – nền tảng quản lý trung tâm thể thao</t>
  </si>
  <si>
    <t>KẾ HOẠCH PHÂN VAI CHO NHÓM 3 NGƯỜI</t>
  </si>
  <si>
    <t>NHỮNG GÌ CẦN TEST – PHÂN TÍCH SOURCE CODE</t>
  </si>
  <si>
    <t>BỘ 32 TEST CASE READYAPI</t>
  </si>
  <si>
    <t>Tất cả 3 thành viên đều học Tester. Phân chia theo thế mạnh để tối ưu, không ai đứng ngoài test.</t>
  </si>
  <si>
    <t>Kiến trúc</t>
  </si>
  <si>
    <t>Nhóm</t>
  </si>
  <si>
    <t>Laravel REST API (backend) + React 18/Vite (frontend) + MySQL 8</t>
  </si>
  <si>
    <t>Cột 'Kết quả' chọn Pass/Fail/Blocked/Not run. Cột 'Assertions' liệt kê các assertion cần thêm trong ReadyAPI.</t>
  </si>
  <si>
    <t>Phạm vi test</t>
  </si>
  <si>
    <t>Chỉ test tầng REST API của backend (nền ReadyAPI). Không test UI React.</t>
  </si>
  <si>
    <t>Authentication</t>
  </si>
  <si>
    <t>Laravel Sanctum. Token bearer: Authorization: Bearer &lt;token&gt;</t>
  </si>
  <si>
    <t>Base URL (ví dụ local)</t>
  </si>
  <si>
    <t>http://127.0.0.1:8000/api</t>
  </si>
  <si>
    <t>Ba role</t>
  </si>
  <si>
    <t>admin, coach, client. Mỗi role có nhánh route riêng (/admin/*, /coach/*, /client/*)</t>
  </si>
  <si>
    <t>Chức năng chính</t>
  </si>
  <si>
    <t>Đăng ký/đăng nhập, quản lý client, quản lý coach, kế hoạch tập (planning), thanh toán, bilan sức khỏe, cảnh báo, tài nguyên, xuất PDF biên nhận</t>
  </si>
  <si>
    <t>Quy tắc bảo mật nổi bật</t>
  </si>
  <si>
    <t>Khoá tài khoản 30 phút sau 5 lần sai mật khẩu; middleware role; middleware 'locked'</t>
  </si>
  <si>
    <t>Tool test</t>
  </si>
  <si>
    <t>SmartBear ReadyAPI (có thể dùng SoapUI OpenSource cho các case cơ bản)</t>
  </si>
  <si>
    <t>Số test case trong tài liệu này</t>
  </si>
  <si>
    <t>32 test case ReadyAPI, phủ 7 nhóm chức năng cốt lõi</t>
  </si>
  <si>
    <t>GHI CHÚ KHI DỰNG MÔI TRƯỜNG</t>
  </si>
  <si>
    <t>Thành viên</t>
  </si>
  <si>
    <t>Endpoint</t>
  </si>
  <si>
    <t>Mô tả nghiệp vụ</t>
  </si>
  <si>
    <t>Rủi ro / Điểm cần kiểm tra</t>
  </si>
  <si>
    <t>Số TC đề xuất</t>
  </si>
  <si>
    <t>TC ID</t>
  </si>
  <si>
    <t>TestSuite</t>
  </si>
  <si>
    <t>Method</t>
  </si>
  <si>
    <t>Mục đích</t>
  </si>
  <si>
    <t>Headers</t>
  </si>
  <si>
    <t>Request body / Params</t>
  </si>
  <si>
    <t>Expected Status</t>
  </si>
  <si>
    <t>Expected Response</t>
  </si>
  <si>
    <t>Assertions (ReadyAPI)</t>
  </si>
  <si>
    <t>Loại test</t>
  </si>
  <si>
    <t>Kết quả</t>
  </si>
  <si>
    <t>Ghi chú</t>
  </si>
  <si>
    <t>TC-AUTH-01</t>
  </si>
  <si>
    <t>POST /api/login, /register, /logout, /me, /forgot-password, /reset-password</t>
  </si>
  <si>
    <t>POST</t>
  </si>
  <si>
    <t>Đăng nhập, đăng ký khách hàng (gán coach ngẫu nhiên theo specialite, tạo cotisation), lấy profile, quên/đặt lại mật khẩu</t>
  </si>
  <si>
    <t>/login</t>
  </si>
  <si>
    <t>Login admin thành công</t>
  </si>
  <si>
    <t>Khoá tài khoản sau 5 lần sai; trả 423 khi locked; validate email/password; unique email; plan ∈ {mensuel,trimestriel,annuel}; payment_method ∈ {card,cash}; chuyển tiền tự động đúng gói</t>
  </si>
  <si>
    <t>Content-Type: application/json</t>
  </si>
  <si>
    <t>9</t>
  </si>
  <si>
    <t>{"email":"admin@sportcenter.com","password":"admin123"}</t>
  </si>
  <si>
    <t>200</t>
  </si>
  <si>
    <t>Admin – Client</t>
  </si>
  <si>
    <t>{token, user:{id,name,email,role:admin}}</t>
  </si>
  <si>
    <t>GET/POST/PUT/DELETE /api/admin/clients</t>
  </si>
  <si>
    <t>Valid HTTP Status 200; JSONPath $.token exists; JSONPath Match $.user.role = admin; Response SLA &lt;= 2000ms</t>
  </si>
  <si>
    <t>CRUD client, lọc theo statut/coach_id, tìm kiếm</t>
  </si>
  <si>
    <t>Positive</t>
  </si>
  <si>
    <t>Phân trang (10/trang); validate coach_id tồn tại; email unique; xóa client phải xóa user kèm theo (cascade); update từng phần (sometimes)</t>
  </si>
  <si>
    <t>6</t>
  </si>
  <si>
    <t>Admin – Coach</t>
  </si>
  <si>
    <t>GET/POST/PUT/DELETE /api/admin/coaches</t>
  </si>
  <si>
    <t>CRUD coach, auto sinh code COACH-NNN</t>
  </si>
  <si>
    <t>Không cho xóa coach còn client; code_coach tăng đúng thứ tự; email unique</t>
  </si>
  <si>
    <t>4</t>
  </si>
  <si>
    <t>Paiement</t>
  </si>
  <si>
    <t>GET/POST /api/admin/paiements, GET /paiements/stats</t>
  </si>
  <si>
    <t>Liệt kê échéance, ghi nhận paiement, thống kê theo tháng</t>
  </si>
  <si>
    <t>Không cho paiement 2 lần cho 1 échéance đã paye; methode ∈ {carte,virement,cheque,especes}; stats tính đúng tổng tháng hiện tại</t>
  </si>
  <si>
    <t>Coach – Planning</t>
  </si>
  <si>
    <t>GET /api/coach/planning, POST /planning/seances, POST /seances/{id}/realiser</t>
  </si>
  <si>
    <t>Lịch tập của coach với client của mình</t>
  </si>
  <si>
    <t>Coach chỉ thấy client của chính mình; heure_fin &gt; heure_debut; effort_percu 1–10</t>
  </si>
  <si>
    <t>3</t>
  </si>
  <si>
    <t>Client – Dashboard</t>
  </si>
  <si>
    <t>GET /api/client/dashboard, /paiements, /planning, /bilans</t>
  </si>
  <si>
    <t>Client xem thông tin của mình</t>
  </si>
  <si>
    <t>Client không truy cập được dữ liệu của client khác; không truy cập /admin/*</t>
  </si>
  <si>
    <t>Role-based security</t>
  </si>
  <si>
    <t>Tất cả endpoint /admin, /coach, /client</t>
  </si>
  <si>
    <t>Middleware role + locked</t>
  </si>
  <si>
    <t>admin truy cập được tất cả; coach truy cập /coach + /client; client chỉ /client; locked user chặn 423; token sai / rỗng → 401</t>
  </si>
  <si>
    <t>1. Chạy backend bằng: cd backend &amp;&amp; composer install &amp;&amp; cp .env.example .env &amp;&amp; php artisan key:generate &amp;&amp; php artisan migrate --seed &amp;&amp; php artisan serve</t>
  </si>
  <si>
    <t>Thế mạnh</t>
  </si>
  <si>
    <t>Vai trò chính trong lab</t>
  </si>
  <si>
    <t>Deliverable cụ thể</t>
  </si>
  <si>
    <t>TV1 – giỏi code</t>
  </si>
  <si>
    <t>2. Trong ReadyAPI tạo Project 'VIP Sport Center API' kiểu REST. Thêm Environment: Local (baseUrl=http://127.0.0.1:8000/api) và có thể Dev/Stage sau.</t>
  </si>
  <si>
    <t>Hiểu Laravel, debug nhanh</t>
  </si>
  <si>
    <t>Test Lead kỹ thuật + viết Groovy scripts trong ReadyAPI</t>
  </si>
  <si>
    <t>Dựng môi trường (seed DB, chạy artisan serve); viết Groovy script setup/teardown; cấu hình Property Transfer để trích token; code assertion phức tạp (JSONPath); phụ trách TC-AUTH-* và TC-ADMIN-CLIENT-*</t>
  </si>
  <si>
    <t>3. Tạo Project Property: baseUrl, adminEmail, adminPassword, coachEmail, coachPassword, clientEmail, clientPassword.</t>
  </si>
  <si>
    <t>TV2 – giỏi tool test</t>
  </si>
  <si>
    <t>4. Dùng Property Transfer để lấy token sau mỗi lần login và gán vào Project Property adminToken / coachToken / clientToken.</t>
  </si>
  <si>
    <t>Nắm sâu ReadyAPI, soạn kịch bản</t>
  </si>
  <si>
    <t>Test Designer + Test Executor chính</t>
  </si>
  <si>
    <t>Thiết kế bộ 32 test case trong Excel (file này là bản nháp); dựng Project, TestSuite, TestCase trong ReadyAPI; thêm Assertions, DataSource, Load Test; xuất báo cáo HTML; phụ trách TC-COACH-*, TC-PAIEMENT-*, TC-SECURITY-*</t>
  </si>
  <si>
    <t>5. Mọi request có xác thực dùng Header: Authorization = Bearer ${#Project#adminToken} (thay theo role).</t>
  </si>
  <si>
    <t>TV3 – giỏi slide</t>
  </si>
  <si>
    <t>Trình bày, bố cục đẹp</t>
  </si>
  <si>
    <t>Reporter + Presenter + Test Reviewer</t>
  </si>
  <si>
    <t>6. Mỗi test case trong Excel = 1 TestCase trong ReadyAPI (có thể nhóm theo TestSuite theo chức năng).</t>
  </si>
  <si>
    <t>Theo dõi tiến độ, cập nhật kết quả vào Excel; chụp screenshot ReadyAPI; soạn slide (15–20 slide) theo cấu trúc gợi ý; thuyết trình phần Demo. Tham gia chạy TC-CLIENT-*, TC-ROLE-* (các case đơn giản để nắm quy trình)</t>
  </si>
  <si>
    <t>7. Dùng Assertion: Valid HTTP Status Codes, JSONPath Match, JSONPath Exists, Response SLA (&lt;= 2000ms), Not SOAP Fault.</t>
  </si>
  <si>
    <t>LỊCH LÀM VIỆC GỢI Ý (1 tuần)</t>
  </si>
  <si>
    <t>8. Trước khi chạy test ghi/xóa, chuẩn bị DataSource (Excel/CSV) hoặc Groovy script tạo dữ liệu seed.</t>
  </si>
  <si>
    <t>Ngày</t>
  </si>
  <si>
    <t>Dùng Property Transfer gán $.token → Project adminToken</t>
  </si>
  <si>
    <t>Hoạt động</t>
  </si>
  <si>
    <t>TC-AUTH-02</t>
  </si>
  <si>
    <t>Người chịu trách nhiệm</t>
  </si>
  <si>
    <t>Output</t>
  </si>
  <si>
    <t>Login với email không tồn tại</t>
  </si>
  <si>
    <t>{"email":"notexist@x.com","password":"any"}</t>
  </si>
  <si>
    <t>Ngày 1</t>
  </si>
  <si>
    <t>401</t>
  </si>
  <si>
    <t>{message:'Email ou mot de passe incorrect.'}</t>
  </si>
  <si>
    <t>Status 401; JSONPath Match $.message chứa 'incorrect'</t>
  </si>
  <si>
    <t>Clone repo, dựng backend local, seed DB. Cài ReadyAPI. Review file Excel này cùng nhau</t>
  </si>
  <si>
    <t>Negative</t>
  </si>
  <si>
    <t>Cả nhóm (TV1 dẫn)</t>
  </si>
  <si>
    <t>Backend chạy ok ở 127.0.0.1:8000; mọi người login được bằng Postman</t>
  </si>
  <si>
    <t>Ngày 2</t>
  </si>
  <si>
    <t>TC-AUTH-03</t>
  </si>
  <si>
    <t>Tạo Project trong ReadyAPI, thêm Environment, Project Properties, Login + Property Transfer lấy token</t>
  </si>
  <si>
    <t>TV2</t>
  </si>
  <si>
    <t>Login sai password 1 lần – đếm tentative</t>
  </si>
  <si>
    <t>Project ReadyAPI khung sẵn, token auto refresh</t>
  </si>
  <si>
    <t>{"email":"test5@sportcenter.com","password":"wrong"}</t>
  </si>
  <si>
    <t>{message chứa 'tentative(s) restante(s)'}</t>
  </si>
  <si>
    <t>Status 401; Contains 'tentative'</t>
  </si>
  <si>
    <t>Dùng user test riêng, không dùng admin thật</t>
  </si>
  <si>
    <t>TC-AUTH-04</t>
  </si>
  <si>
    <t>Khoá tài khoản sau 5 lần sai → trả 423</t>
  </si>
  <si>
    <t>Ngày 3</t>
  </si>
  <si>
    <t>Lặp 5 lần với password sai, lần 6 dùng password đúng</t>
  </si>
  <si>
    <t>Viết test case nhóm Auth (TC-AUTH-01 → 09)</t>
  </si>
  <si>
    <t>423</t>
  </si>
  <si>
    <t>TV1 + TV2</t>
  </si>
  <si>
    <t>{message chứa 'bloqué'}</t>
  </si>
  <si>
    <t>Status 423; Contains 'bloqué' hoặc 'temporairement'</t>
  </si>
  <si>
    <t>9 TC chạy pass</t>
  </si>
  <si>
    <t>Boundary/Security</t>
  </si>
  <si>
    <t>Ngày 4</t>
  </si>
  <si>
    <t>Nên dùng DataSource Loop 5 vòng; teardown reset failed_login_attempts qua Groovy</t>
  </si>
  <si>
    <t>Viết test case Admin-Client, Admin-Coach, Paiement</t>
  </si>
  <si>
    <t>TC-AUTH-05</t>
  </si>
  <si>
    <t>TV2 (TV1 hỗ trợ Groovy)</t>
  </si>
  <si>
    <t>13 TC</t>
  </si>
  <si>
    <t>Email thiếu – validate 422</t>
  </si>
  <si>
    <t>Ngày 5</t>
  </si>
  <si>
    <t>{"password":"x"}</t>
  </si>
  <si>
    <t>422</t>
  </si>
  <si>
    <t>Viết test case Role, Security, Negative cases</t>
  </si>
  <si>
    <t>{errors.email}</t>
  </si>
  <si>
    <t>Status 422; JSONPath Exists $.errors.email</t>
  </si>
  <si>
    <t>TV2 + TV1</t>
  </si>
  <si>
    <t>10 TC</t>
  </si>
  <si>
    <t>Ngày 6</t>
  </si>
  <si>
    <t>Chạy toàn bộ TestRunner, chụp màn hình, xuất báo cáo HTML. TV3 soạn slide</t>
  </si>
  <si>
    <t>TV3 chủ trì</t>
  </si>
  <si>
    <t>Báo cáo + draft slide</t>
  </si>
  <si>
    <t>Ngày 7</t>
  </si>
  <si>
    <t>Rehearsal thuyết trình, chỉnh sửa, nộp bài</t>
  </si>
  <si>
    <t>Cả nhóm</t>
  </si>
  <si>
    <t>Slide final + Excel final + ReadyAPI project (.xml)</t>
  </si>
  <si>
    <t>CẤU TRÚC SLIDE GỢI Ý</t>
  </si>
  <si>
    <t>TC-AUTH-06</t>
  </si>
  <si>
    <t>/register</t>
  </si>
  <si>
    <t>Đăng ký client gói mensuel bằng thẻ – 201</t>
  </si>
  <si>
    <t>Slide 1 – Trang bìa: VIP Sport Center – API Testing với ReadyAPI – Nhóm/MSSV</t>
  </si>
  <si>
    <t>{name, email unique, password&gt;=8, password_confirmation, specialite:'musculation', plan:'mensuel', payment_method:'card'}</t>
  </si>
  <si>
    <t>201</t>
  </si>
  <si>
    <t>{token, user:{role:client}}</t>
  </si>
  <si>
    <t>Status 201; JSONPath $.user.role = client; token exists</t>
  </si>
  <si>
    <t>Dùng Groovy để sinh email ngẫu nhiên: 'u'+System.currentTimeMillis()+'@test.com'</t>
  </si>
  <si>
    <t>TC-AUTH-07</t>
  </si>
  <si>
    <t>Slide 2 – Giới thiệu dự án: Laravel REST API quản lý trung tâm thể thao, 3 role</t>
  </si>
  <si>
    <t>Đăng ký với plan không hợp lệ – 422</t>
  </si>
  <si>
    <t>{...plan:'quotidien', payment_method:'card'}</t>
  </si>
  <si>
    <t>Slide 3 – Kiến trúc &amp; công nghệ (Laravel + React + MySQL)</t>
  </si>
  <si>
    <t>{errors.plan}</t>
  </si>
  <si>
    <t>Status 422; JSONPath Exists $.errors.plan</t>
  </si>
  <si>
    <t>Slide 4 – Phạm vi kiểm thử: tầng API, 7 nhóm chức năng, 32 test case</t>
  </si>
  <si>
    <t>TC-AUTH-08</t>
  </si>
  <si>
    <t>GET</t>
  </si>
  <si>
    <t>/me</t>
  </si>
  <si>
    <t>Lấy profile khi có token hợp lệ</t>
  </si>
  <si>
    <t>Slide 5 – Giới thiệu ReadyAPI: khác SoapUI thế nào, các tính năng mạnh (DataSource, Property Transfer, Groovy, Security Test, Load Test)</t>
  </si>
  <si>
    <t>Authorization: Bearer ${#Project#clientToken}</t>
  </si>
  <si>
    <t>-</t>
  </si>
  <si>
    <t>{id,name,email,role,profile}</t>
  </si>
  <si>
    <t>Status 200; $.role exists; $.profile not null</t>
  </si>
  <si>
    <t>Slide 6 – Quy trình test: dựng môi trường → tạo Project → viết test → chạy → báo cáo</t>
  </si>
  <si>
    <t>TC-AUTH-09</t>
  </si>
  <si>
    <t>/logout</t>
  </si>
  <si>
    <t>Slide 7 – Chiến lược thiết kế test: Positive / Negative / Boundary / Security / Role-based</t>
  </si>
  <si>
    <t>Logout thu hồi token</t>
  </si>
  <si>
    <t>{message:'Déconnexion réussie.'}</t>
  </si>
  <si>
    <t>Status 200; sau đó gọi lại /me phải trả 401</t>
  </si>
  <si>
    <t>Slide 8 – Nhóm chức năng 1: Authentication (3-4 TC tiêu biểu)</t>
  </si>
  <si>
    <t>Chain với TC-AUTH-08</t>
  </si>
  <si>
    <t>TC-ADMIN-CLIENT-01</t>
  </si>
  <si>
    <t>Slide 9 – Nhóm chức năng 2: Admin – Client CRUD</t>
  </si>
  <si>
    <t>Admin - Client</t>
  </si>
  <si>
    <t>/admin/clients</t>
  </si>
  <si>
    <t>Admin xem danh sách client, phân trang 10</t>
  </si>
  <si>
    <t>Authorization: Bearer ${#Project#adminToken}</t>
  </si>
  <si>
    <t>Slide 10 – Nhóm chức năng 3: Payment</t>
  </si>
  <si>
    <t>Paginated: {data[], current_page, per_page:10, total}</t>
  </si>
  <si>
    <t>Status 200; $.per_page = 10; $.data array exists</t>
  </si>
  <si>
    <t>Slide 11 – Nhóm chức năng 4: Role-based Access Control (demo 403)</t>
  </si>
  <si>
    <t>TC-ADMIN-CLIENT-02</t>
  </si>
  <si>
    <t>/admin/clients?search=Dupont</t>
  </si>
  <si>
    <t>Slide 12 – Demo live trong ReadyAPI (TV3 chia màn hình, TV2 click)</t>
  </si>
  <si>
    <t>Tìm kiếm theo tên</t>
  </si>
  <si>
    <t>Query: search=Dupont</t>
  </si>
  <si>
    <t>Chỉ client có nom/prenom chứa Dupont</t>
  </si>
  <si>
    <t>Status 200; mọi $.data[*].nom hoặc prenom chứa 'Dupont' (Groovy assert)</t>
  </si>
  <si>
    <t>Slide 13 – Kết quả: 32 TC, X pass / Y fail, biểu đồ</t>
  </si>
  <si>
    <t>TC-ADMIN-CLIENT-03</t>
  </si>
  <si>
    <t>Slide 14 – Lỗi phát hiện (nếu có) + đề xuất</t>
  </si>
  <si>
    <t>Admin tạo client mới</t>
  </si>
  <si>
    <t>Authorization: Bearer ${#Project#adminToken}; Content-Type: application/json</t>
  </si>
  <si>
    <t>{prenom, nom, email unique, password&gt;=8, coach_id tồn tại, montant_annuel&gt;=0}</t>
  </si>
  <si>
    <t>Slide 15 – Bài học kinh nghiệm &amp; phân công</t>
  </si>
  <si>
    <t>{message, client:{id,user,coach}}</t>
  </si>
  <si>
    <t>Status 201; JSONPath Exists $.client.id</t>
  </si>
  <si>
    <t>Slide 16 – Q&amp;A</t>
  </si>
  <si>
    <t>Property Transfer $.client.id → createdClientId</t>
  </si>
  <si>
    <t>TC-ADMIN-CLIENT-04</t>
  </si>
  <si>
    <t>Tạo client với coach_id không tồn tại – 422</t>
  </si>
  <si>
    <t>{coach_id:99999, ...}</t>
  </si>
  <si>
    <t>{errors.coach_id}</t>
  </si>
  <si>
    <t>Status 422; JSONPath Exists $.errors.coach_id</t>
  </si>
  <si>
    <t>TC-ADMIN-CLIENT-05</t>
  </si>
  <si>
    <t>PUT</t>
  </si>
  <si>
    <t>/admin/clients/{id}</t>
  </si>
  <si>
    <t>Admin cập nhật statut client</t>
  </si>
  <si>
    <t>{statut:'suspendu'}</t>
  </si>
  <si>
    <t>{client.statut:'suspendu'}</t>
  </si>
  <si>
    <t>Status 200; JSONPath Match $.client.statut = suspendu</t>
  </si>
  <si>
    <t>Dùng createdClientId từ TC-03</t>
  </si>
  <si>
    <t>TC-ADMIN-CLIENT-06</t>
  </si>
  <si>
    <t>DELETE</t>
  </si>
  <si>
    <t>Admin xóa client – xóa luôn user</t>
  </si>
  <si>
    <t>{message:'Client supprimé.'}</t>
  </si>
  <si>
    <t>Status 200; sau đó GET /admin/clients/{id} trả 404</t>
  </si>
  <si>
    <t>TC-ADMIN-COACH-01</t>
  </si>
  <si>
    <t>Admin - Coach</t>
  </si>
  <si>
    <t>/admin/coaches</t>
  </si>
  <si>
    <t>Liệt kê coach, có clients_count</t>
  </si>
  <si>
    <t>Array of {id, code_coach, clients_count}</t>
  </si>
  <si>
    <t>Status 200; JSONPath $[0].code_coach exists</t>
  </si>
  <si>
    <t>TC-ADMIN-COACH-02</t>
  </si>
  <si>
    <t>Tạo coach mới, auto sinh code_coach</t>
  </si>
  <si>
    <t>{prenom, nom, email unique, password&gt;=8, specialite:'cardio'}</t>
  </si>
  <si>
    <t>{coach.code_coach khớp /^COACH-\d{3}$/}</t>
  </si>
  <si>
    <t>Status 201; Regex Match $.coach.code_coach = ^COACH-\d{3}$</t>
  </si>
  <si>
    <t>TC-ADMIN-COACH-03</t>
  </si>
  <si>
    <t>Email trùng – 422</t>
  </si>
  <si>
    <t>{email:'coach@sportcenter.com', ...}</t>
  </si>
  <si>
    <t>TC-ADMIN-COACH-04</t>
  </si>
  <si>
    <t>/admin/coaches/{id}</t>
  </si>
  <si>
    <t>Không cho xóa coach còn client – 422</t>
  </si>
  <si>
    <t>Chọn coach có client</t>
  </si>
  <si>
    <t>{message chứa 'Impossible'}</t>
  </si>
  <si>
    <t>Status 422; Contains 'Impossible'</t>
  </si>
  <si>
    <t>Negative/Business rule</t>
  </si>
  <si>
    <t>TC-PAIEMENT-01</t>
  </si>
  <si>
    <t>/admin/paiements</t>
  </si>
  <si>
    <t>Lọc échéance theo statut=retard</t>
  </si>
  <si>
    <t>Query: statut=retard</t>
  </si>
  <si>
    <t>Chỉ échéance en_attente và date_echeance &lt; now</t>
  </si>
  <si>
    <t>Status 200; Groovy assert date_echeance &lt; today</t>
  </si>
  <si>
    <t>TC-PAIEMENT-02</t>
  </si>
  <si>
    <t>Ghi nhận paiement thành công</t>
  </si>
  <si>
    <t>{echeance_id, montant, methode:'carte', date_paiement}</t>
  </si>
  <si>
    <t>{message, paiement:{id}}</t>
  </si>
  <si>
    <t>Status 201; $.paiement.id exists</t>
  </si>
  <si>
    <t>TC-PAIEMENT-03</t>
  </si>
  <si>
    <t>Ghi nhận paiement cho échéance đã paye – 422</t>
  </si>
  <si>
    <t>{echeance_id của échéance đã paye}</t>
  </si>
  <si>
    <t>{message:'Cette échéance est déjà payée.'}</t>
  </si>
  <si>
    <t>Status 422; Contains 'déjà payée'</t>
  </si>
  <si>
    <t>Negative/Business</t>
  </si>
  <si>
    <t>TC-PAIEMENT-04</t>
  </si>
  <si>
    <t>/admin/paiements/stats</t>
  </si>
  <si>
    <t>Thống kê trả về đủ 4 trường</t>
  </si>
  <si>
    <t>{total_encaisse, total_en_attente, total_en_retard, par_methode[]}</t>
  </si>
  <si>
    <t>Status 200; JSONPath Exists tất cả 4 field</t>
  </si>
  <si>
    <t>TC-COACH-01</t>
  </si>
  <si>
    <t>Coach - Planning</t>
  </si>
  <si>
    <t>/coach/planning</t>
  </si>
  <si>
    <t>Coach xem planning của mình</t>
  </si>
  <si>
    <t>Authorization: Bearer ${#Project#coachToken}</t>
  </si>
  <si>
    <t>Query mois, annee</t>
  </si>
  <si>
    <t>TỔNG HỢP KẾT QUẢ</t>
  </si>
  <si>
    <t>Số TC</t>
  </si>
  <si>
    <t>Pass</t>
  </si>
  <si>
    <t>Fail</t>
  </si>
  <si>
    <t>Blocked / Not run</t>
  </si>
  <si>
    <t>% Pass</t>
  </si>
  <si>
    <t>{mois, annee, plannings[]}</t>
  </si>
  <si>
    <t>Status 200; $.plannings exists</t>
  </si>
  <si>
    <t>TC-COACH-02</t>
  </si>
  <si>
    <t>/coach/planning/seances</t>
  </si>
  <si>
    <t>Coach tạo séance cho client KHÔNG phải của mình – 404</t>
  </si>
  <si>
    <t>{client_id của coach khác, date, heure_debut}</t>
  </si>
  <si>
    <t>404</t>
  </si>
  <si>
    <t>Status 404</t>
  </si>
  <si>
    <t>Negative/Security</t>
  </si>
  <si>
    <t>TC-COACH-03</t>
  </si>
  <si>
    <t>heure_fin trước heure_debut – 422</t>
  </si>
  <si>
    <t>{heure_debut:'10:00', heure_fin:'09:00'}</t>
  </si>
  <si>
    <t>{errors.heure_fin}</t>
  </si>
  <si>
    <t>Status 422; JSONPath Exists $.errors.heure_fin</t>
  </si>
  <si>
    <t>Boundary</t>
  </si>
  <si>
    <t>TC-CLIENT-01</t>
  </si>
  <si>
    <t>Client - Dashboard</t>
  </si>
  <si>
    <t>/client/dashboard</t>
  </si>
  <si>
    <t>Client xem dashboard của chính mình</t>
  </si>
  <si>
    <t>Dashboard data</t>
  </si>
  <si>
    <t>Status 200</t>
  </si>
  <si>
    <t>TC-CLIENT-02</t>
  </si>
  <si>
    <t>/client/paiements</t>
  </si>
  <si>
    <t>Client xem lịch sử paiement của mình</t>
  </si>
  <si>
    <t>Array of paiements</t>
  </si>
  <si>
    <t>TC-ROLE-01</t>
  </si>
  <si>
    <t>Role Security</t>
  </si>
  <si>
    <t>Client gọi endpoint admin – 403</t>
  </si>
  <si>
    <t>403</t>
  </si>
  <si>
    <t>{message:'Accès refusé'}</t>
  </si>
  <si>
    <t>Status 403; Contains 'Accès refusé'</t>
  </si>
  <si>
    <t>TC-ROLE-02</t>
  </si>
  <si>
    <t>Không có token – 401</t>
  </si>
  <si>
    <t>(không header)</t>
  </si>
  <si>
    <t>Unauthenticated</t>
  </si>
  <si>
    <t>Status 401</t>
  </si>
  <si>
    <t>TC-ROLE-03</t>
  </si>
  <si>
    <t>/coach/dashboard</t>
  </si>
  <si>
    <t>Admin gọi route coach – 200 (admin được phép theo middleware role:coach,admin)</t>
  </si>
  <si>
    <t>Dashboard coach</t>
  </si>
  <si>
    <t>Positive/Role matrix</t>
  </si>
  <si>
    <t>TC-SECURITY-01</t>
  </si>
  <si>
    <t>Security</t>
  </si>
  <si>
    <t>SQL injection trong email – vẫn 401, không 500</t>
  </si>
  <si>
    <t>{"email":"' OR 1=1 --","password":"x"}</t>
  </si>
  <si>
    <t>401 hoặc 422</t>
  </si>
  <si>
    <t>Không có stack trace</t>
  </si>
  <si>
    <t>Status in {401,422}; NOT Contains 'SQLSTATE'</t>
  </si>
  <si>
    <t>TC-SECURITY-02</t>
  </si>
  <si>
    <t>Password quá ngắn (7 ký tự) – 422</t>
  </si>
  <si>
    <t>{password:'1234567', password_confirmation:'1234567', ...}</t>
  </si>
  <si>
    <t>{errors.password}</t>
  </si>
  <si>
    <t>Status 422; JSONPath Exists $.errors.password</t>
  </si>
  <si>
    <t>TỔNG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</si>
</sst>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4.0"/>
      <color rgb="FF1F4E78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b/>
      <sz val="12.0"/>
      <color rgb="FF1F4E78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top" wrapText="0"/>
    </xf>
    <xf borderId="0" fillId="0" fontId="7" numFmtId="0" xfId="0" applyAlignment="1" applyFont="1">
      <alignment horizontal="center" shrinkToFit="0" vertical="top" wrapText="0"/>
    </xf>
    <xf borderId="1" fillId="0" fontId="3" numFmtId="0" xfId="0" applyAlignment="1" applyBorder="1" applyFon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NFR6" Type="http://schemas.openxmlformats.org/officeDocument/2006/relationships/worksheet" Target="worksheets/sheet6.xml"/><Relationship Id="rIdNFR7" Type="http://schemas.openxmlformats.org/officeDocument/2006/relationships/worksheet" Target="worksheets/sheet7.xml"/><Relationship Id="rIdNFR8" Type="http://schemas.openxmlformats.org/officeDocument/2006/relationships/worksheet" Target="worksheets/sheet8.xml"/><Relationship Id="rIdNFR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00.0"/>
    <col customWidth="1" min="3" max="26" width="8.71"/>
  </cols>
  <sheetData>
    <row r="1">
      <c r="A1" s="1" t="s">
        <v>0</v>
      </c>
    </row>
    <row r="3" ht="30.0" customHeight="1">
      <c r="A3" s="2" t="s">
        <v>1</v>
      </c>
      <c r="B3" s="3" t="s">
        <v>2</v>
      </c>
    </row>
    <row r="4" ht="30.0" customHeight="1">
      <c r="A4" s="2" t="s">
        <v>7</v>
      </c>
      <c r="B4" s="3" t="s">
        <v>9</v>
      </c>
    </row>
    <row r="5" ht="30.0" customHeight="1">
      <c r="A5" s="2" t="s">
        <v>11</v>
      </c>
      <c r="B5" s="3" t="s">
        <v>12</v>
      </c>
    </row>
    <row r="6" ht="30.0" customHeight="1">
      <c r="A6" s="2" t="s">
        <v>13</v>
      </c>
      <c r="B6" s="3" t="s">
        <v>14</v>
      </c>
    </row>
    <row r="7" ht="30.0" customHeight="1">
      <c r="A7" s="2" t="s">
        <v>15</v>
      </c>
      <c r="B7" s="3" t="s">
        <v>16</v>
      </c>
    </row>
    <row r="8" ht="30.0" customHeight="1">
      <c r="A8" s="2" t="s">
        <v>17</v>
      </c>
      <c r="B8" s="3" t="s">
        <v>18</v>
      </c>
    </row>
    <row r="9" ht="30.0" customHeight="1">
      <c r="A9" s="2" t="s">
        <v>19</v>
      </c>
      <c r="B9" s="3" t="s">
        <v>20</v>
      </c>
    </row>
    <row r="10" ht="30.0" customHeight="1">
      <c r="A10" s="2" t="s">
        <v>21</v>
      </c>
      <c r="B10" s="3" t="s">
        <v>22</v>
      </c>
    </row>
    <row r="11" ht="30.0" customHeight="1">
      <c r="A11" s="2" t="s">
        <v>23</v>
      </c>
      <c r="B11" s="3" t="s">
        <v>24</v>
      </c>
    </row>
    <row r="12" ht="30.0" customHeight="1">
      <c r="A12" s="2" t="s">
        <v>25</v>
      </c>
      <c r="B12" s="3" t="s">
        <v>26</v>
      </c>
    </row>
    <row r="14">
      <c r="A14" s="7" t="s">
        <v>27</v>
      </c>
    </row>
    <row r="15" ht="27.75" customHeight="1">
      <c r="A15" s="3" t="s">
        <v>86</v>
      </c>
    </row>
    <row r="16" ht="27.75" customHeight="1">
      <c r="A16" s="3" t="s">
        <v>91</v>
      </c>
    </row>
    <row r="17" ht="27.75" customHeight="1">
      <c r="A17" s="3" t="s">
        <v>95</v>
      </c>
    </row>
    <row r="18" ht="27.75" customHeight="1">
      <c r="A18" s="3" t="s">
        <v>97</v>
      </c>
    </row>
    <row r="19" ht="27.75" customHeight="1">
      <c r="A19" s="3" t="s">
        <v>101</v>
      </c>
    </row>
    <row r="20" ht="27.75" customHeight="1">
      <c r="A20" s="3" t="s">
        <v>105</v>
      </c>
    </row>
    <row r="21" ht="27.75" customHeight="1">
      <c r="A21" s="3" t="s">
        <v>107</v>
      </c>
    </row>
    <row r="22" ht="27.75" customHeight="1">
      <c r="A22" s="3" t="s">
        <v>109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5:B15"/>
    <mergeCell ref="A16:B16"/>
    <mergeCell ref="A17:B17"/>
    <mergeCell ref="A18:B18"/>
    <mergeCell ref="A19:B19"/>
    <mergeCell ref="A20:B20"/>
    <mergeCell ref="A21:B21"/>
    <mergeCell ref="A22:B2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0.0" ySplit="13.0" topLeftCell="K14" activePane="bottomRight" state="frozen"/>
      <selection activeCell="K1" sqref="K1" pane="topRight"/>
      <selection activeCell="A14" sqref="A14" pane="bottomLeft"/>
      <selection activeCell="K14" sqref="K14" pane="bottomRight"/>
    </sheetView>
  </sheetViews>
  <sheetFormatPr customHeight="1" defaultColWidth="14.43" defaultRowHeight="15.0"/>
  <cols>
    <col customWidth="1" min="1" max="1" width="12.0"/>
    <col customWidth="1" min="2" max="2" width="38.0"/>
    <col customWidth="1" min="3" max="3" width="24.0"/>
    <col customWidth="1" min="4" max="4" width="86.29"/>
    <col customWidth="1" min="5" max="26" width="8.71"/>
  </cols>
  <sheetData>
    <row r="1">
      <c r="A1" s="1" t="s">
        <v>3</v>
      </c>
    </row>
    <row r="2">
      <c r="A2" s="4" t="s">
        <v>6</v>
      </c>
    </row>
    <row r="4">
      <c r="A4" s="5" t="s">
        <v>28</v>
      </c>
      <c r="B4" s="5" t="s">
        <v>87</v>
      </c>
      <c r="C4" s="5" t="s">
        <v>88</v>
      </c>
      <c r="D4" s="5" t="s">
        <v>89</v>
      </c>
    </row>
    <row r="5" ht="90.0" customHeight="1">
      <c r="A5" s="6" t="s">
        <v>90</v>
      </c>
      <c r="B5" s="6" t="s">
        <v>92</v>
      </c>
      <c r="C5" s="6" t="s">
        <v>93</v>
      </c>
      <c r="D5" s="6" t="s">
        <v>94</v>
      </c>
    </row>
    <row r="6" ht="90.0" customHeight="1">
      <c r="A6" s="6" t="s">
        <v>96</v>
      </c>
      <c r="B6" s="6" t="s">
        <v>98</v>
      </c>
      <c r="C6" s="6" t="s">
        <v>99</v>
      </c>
      <c r="D6" s="6" t="s">
        <v>100</v>
      </c>
    </row>
    <row r="7" ht="90.0" customHeight="1">
      <c r="A7" s="6" t="s">
        <v>102</v>
      </c>
      <c r="B7" s="6" t="s">
        <v>103</v>
      </c>
      <c r="C7" s="6" t="s">
        <v>104</v>
      </c>
      <c r="D7" s="6" t="s">
        <v>106</v>
      </c>
    </row>
    <row r="12">
      <c r="A12" s="7" t="s">
        <v>108</v>
      </c>
    </row>
    <row r="13">
      <c r="A13" s="5" t="s">
        <v>110</v>
      </c>
      <c r="B13" s="5" t="s">
        <v>112</v>
      </c>
      <c r="C13" s="5" t="s">
        <v>114</v>
      </c>
      <c r="D13" s="5" t="s">
        <v>115</v>
      </c>
    </row>
    <row r="14" ht="48.0" customHeight="1">
      <c r="A14" s="6" t="s">
        <v>118</v>
      </c>
      <c r="B14" s="6" t="s">
        <v>122</v>
      </c>
      <c r="C14" s="6" t="s">
        <v>124</v>
      </c>
      <c r="D14" s="6" t="s">
        <v>125</v>
      </c>
    </row>
    <row r="15" ht="48.0" customHeight="1">
      <c r="A15" s="6" t="s">
        <v>126</v>
      </c>
      <c r="B15" s="6" t="s">
        <v>128</v>
      </c>
      <c r="C15" s="6" t="s">
        <v>129</v>
      </c>
      <c r="D15" s="6" t="s">
        <v>131</v>
      </c>
    </row>
    <row r="16" ht="48.0" customHeight="1">
      <c r="A16" s="6" t="s">
        <v>138</v>
      </c>
      <c r="B16" s="6" t="s">
        <v>140</v>
      </c>
      <c r="C16" s="6" t="s">
        <v>142</v>
      </c>
      <c r="D16" s="6" t="s">
        <v>145</v>
      </c>
    </row>
    <row r="17" ht="48.0" customHeight="1">
      <c r="A17" s="6" t="s">
        <v>147</v>
      </c>
      <c r="B17" s="6" t="s">
        <v>149</v>
      </c>
      <c r="C17" s="6" t="s">
        <v>151</v>
      </c>
      <c r="D17" s="6" t="s">
        <v>152</v>
      </c>
    </row>
    <row r="18" ht="48.0" customHeight="1">
      <c r="A18" s="6" t="s">
        <v>154</v>
      </c>
      <c r="B18" s="6" t="s">
        <v>157</v>
      </c>
      <c r="C18" s="6" t="s">
        <v>160</v>
      </c>
      <c r="D18" s="6" t="s">
        <v>161</v>
      </c>
    </row>
    <row r="19" ht="48.0" customHeight="1">
      <c r="A19" s="6" t="s">
        <v>162</v>
      </c>
      <c r="B19" s="6" t="s">
        <v>163</v>
      </c>
      <c r="C19" s="6" t="s">
        <v>164</v>
      </c>
      <c r="D19" s="6" t="s">
        <v>165</v>
      </c>
    </row>
    <row r="20" ht="48.0" customHeight="1">
      <c r="A20" s="6" t="s">
        <v>166</v>
      </c>
      <c r="B20" s="6" t="s">
        <v>167</v>
      </c>
      <c r="C20" s="6" t="s">
        <v>168</v>
      </c>
      <c r="D20" s="6" t="s">
        <v>169</v>
      </c>
    </row>
    <row r="21" ht="15.75" customHeight="1"/>
    <row r="22" ht="15.75" customHeight="1">
      <c r="A22" s="7" t="s">
        <v>170</v>
      </c>
    </row>
    <row r="23" ht="21.75" customHeight="1">
      <c r="A23" s="3" t="s">
        <v>174</v>
      </c>
    </row>
    <row r="24" ht="21.75" customHeight="1">
      <c r="A24" s="3" t="s">
        <v>181</v>
      </c>
    </row>
    <row r="25" ht="21.75" customHeight="1">
      <c r="A25" s="3" t="s">
        <v>184</v>
      </c>
    </row>
    <row r="26" ht="21.75" customHeight="1">
      <c r="A26" s="3" t="s">
        <v>187</v>
      </c>
    </row>
    <row r="27" ht="21.75" customHeight="1">
      <c r="A27" s="3" t="s">
        <v>192</v>
      </c>
    </row>
    <row r="28" ht="21.75" customHeight="1">
      <c r="A28" s="3" t="s">
        <v>197</v>
      </c>
    </row>
    <row r="29" ht="21.75" customHeight="1">
      <c r="A29" s="3" t="s">
        <v>200</v>
      </c>
    </row>
    <row r="30" ht="21.75" customHeight="1">
      <c r="A30" s="3" t="s">
        <v>204</v>
      </c>
    </row>
    <row r="31" ht="21.75" customHeight="1">
      <c r="A31" s="3" t="s">
        <v>207</v>
      </c>
    </row>
    <row r="32" ht="21.75" customHeight="1">
      <c r="A32" s="3" t="s">
        <v>212</v>
      </c>
    </row>
    <row r="33" ht="21.75" customHeight="1">
      <c r="A33" s="3" t="s">
        <v>215</v>
      </c>
    </row>
    <row r="34" ht="21.75" customHeight="1">
      <c r="A34" s="3" t="s">
        <v>218</v>
      </c>
    </row>
    <row r="35" ht="21.75" customHeight="1">
      <c r="A35" s="3" t="s">
        <v>223</v>
      </c>
    </row>
    <row r="36" ht="21.75" customHeight="1">
      <c r="A36" s="3" t="s">
        <v>225</v>
      </c>
    </row>
    <row r="37" ht="21.75" customHeight="1">
      <c r="A37" s="3" t="s">
        <v>229</v>
      </c>
    </row>
    <row r="38" ht="21.75" customHeight="1">
      <c r="A38" s="3" t="s">
        <v>232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3:$D$20"/>
  <mergeCells count="16">
    <mergeCell ref="A23:D23"/>
    <mergeCell ref="A24:D24"/>
    <mergeCell ref="A25:D25"/>
    <mergeCell ref="A26:D26"/>
    <mergeCell ref="A27:D27"/>
    <mergeCell ref="A28:D28"/>
    <mergeCell ref="A29:D29"/>
    <mergeCell ref="A37:D37"/>
    <mergeCell ref="A38:D38"/>
    <mergeCell ref="A30:D30"/>
    <mergeCell ref="A31:D31"/>
    <mergeCell ref="A32:D32"/>
    <mergeCell ref="A33:D33"/>
    <mergeCell ref="A34:D34"/>
    <mergeCell ref="A35:D35"/>
    <mergeCell ref="A36:D3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8.0"/>
    <col customWidth="1" min="2" max="2" width="42.0"/>
    <col customWidth="1" min="3" max="3" width="36.0"/>
    <col customWidth="1" min="4" max="4" width="54.0"/>
    <col customWidth="1" min="5" max="5" width="10.0"/>
    <col customWidth="1" min="6" max="26" width="8.71"/>
  </cols>
  <sheetData>
    <row r="1">
      <c r="A1" s="1" t="s">
        <v>4</v>
      </c>
    </row>
    <row r="3">
      <c r="A3" s="5" t="s">
        <v>8</v>
      </c>
      <c r="B3" s="5" t="s">
        <v>29</v>
      </c>
      <c r="C3" s="5" t="s">
        <v>30</v>
      </c>
      <c r="D3" s="5" t="s">
        <v>31</v>
      </c>
      <c r="E3" s="5" t="s">
        <v>32</v>
      </c>
    </row>
    <row r="4" ht="90.0" customHeight="1">
      <c r="A4" s="6" t="s">
        <v>13</v>
      </c>
      <c r="B4" s="6" t="s">
        <v>46</v>
      </c>
      <c r="C4" s="6" t="s">
        <v>48</v>
      </c>
      <c r="D4" s="6" t="s">
        <v>51</v>
      </c>
      <c r="E4" s="6" t="s">
        <v>53</v>
      </c>
    </row>
    <row r="5" ht="90.0" customHeight="1">
      <c r="A5" s="6" t="s">
        <v>56</v>
      </c>
      <c r="B5" s="6" t="s">
        <v>58</v>
      </c>
      <c r="C5" s="6" t="s">
        <v>60</v>
      </c>
      <c r="D5" s="6" t="s">
        <v>62</v>
      </c>
      <c r="E5" s="6" t="s">
        <v>63</v>
      </c>
    </row>
    <row r="6" ht="90.0" customHeight="1">
      <c r="A6" s="6" t="s">
        <v>64</v>
      </c>
      <c r="B6" s="6" t="s">
        <v>65</v>
      </c>
      <c r="C6" s="6" t="s">
        <v>66</v>
      </c>
      <c r="D6" s="6" t="s">
        <v>67</v>
      </c>
      <c r="E6" s="6" t="s">
        <v>68</v>
      </c>
    </row>
    <row r="7" ht="90.0" customHeight="1">
      <c r="A7" s="6" t="s">
        <v>69</v>
      </c>
      <c r="B7" s="6" t="s">
        <v>70</v>
      </c>
      <c r="C7" s="6" t="s">
        <v>71</v>
      </c>
      <c r="D7" s="6" t="s">
        <v>72</v>
      </c>
      <c r="E7" s="6" t="s">
        <v>68</v>
      </c>
    </row>
    <row r="8" ht="90.0" customHeight="1">
      <c r="A8" s="6" t="s">
        <v>73</v>
      </c>
      <c r="B8" s="6" t="s">
        <v>74</v>
      </c>
      <c r="C8" s="6" t="s">
        <v>75</v>
      </c>
      <c r="D8" s="6" t="s">
        <v>76</v>
      </c>
      <c r="E8" s="6" t="s">
        <v>77</v>
      </c>
    </row>
    <row r="9" ht="90.0" customHeight="1">
      <c r="A9" s="6" t="s">
        <v>78</v>
      </c>
      <c r="B9" s="6" t="s">
        <v>79</v>
      </c>
      <c r="C9" s="6" t="s">
        <v>80</v>
      </c>
      <c r="D9" s="6" t="s">
        <v>81</v>
      </c>
      <c r="E9" s="6" t="s">
        <v>77</v>
      </c>
    </row>
    <row r="10" ht="90.0" customHeight="1">
      <c r="A10" s="6" t="s">
        <v>82</v>
      </c>
      <c r="B10" s="6" t="s">
        <v>83</v>
      </c>
      <c r="C10" s="6" t="s">
        <v>84</v>
      </c>
      <c r="D10" s="6" t="s">
        <v>85</v>
      </c>
      <c r="E10" s="6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E$10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8.0"/>
    <col customWidth="1" min="4" max="4" width="34.0"/>
    <col customWidth="1" min="5" max="5" width="38.0"/>
    <col customWidth="1" min="6" max="6" width="30.0"/>
    <col customWidth="1" min="7" max="7" width="42.0"/>
    <col customWidth="1" min="8" max="8" width="10.0"/>
    <col customWidth="1" min="9" max="9" width="38.0"/>
    <col customWidth="1" min="10" max="10" width="52.0"/>
    <col customWidth="1" min="11" max="11" width="16.0"/>
    <col customWidth="1" min="12" max="12" width="10.0"/>
    <col customWidth="1" min="13" max="13" width="32.0"/>
    <col customWidth="1" min="14" max="26" width="8.71"/>
  </cols>
  <sheetData>
    <row r="1">
      <c r="A1" s="1" t="s">
        <v>5</v>
      </c>
    </row>
    <row r="2">
      <c r="A2" s="4" t="s">
        <v>10</v>
      </c>
    </row>
    <row r="4">
      <c r="A4" s="5" t="s">
        <v>33</v>
      </c>
      <c r="B4" s="5" t="s">
        <v>34</v>
      </c>
      <c r="C4" s="5" t="s">
        <v>35</v>
      </c>
      <c r="D4" s="5" t="s">
        <v>29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</row>
    <row r="5" ht="72.0" customHeight="1">
      <c r="A5" s="6" t="s">
        <v>45</v>
      </c>
      <c r="B5" s="6" t="s">
        <v>13</v>
      </c>
      <c r="C5" s="6" t="s">
        <v>47</v>
      </c>
      <c r="D5" s="6" t="s">
        <v>49</v>
      </c>
      <c r="E5" s="6" t="s">
        <v>50</v>
      </c>
      <c r="F5" s="6" t="s">
        <v>52</v>
      </c>
      <c r="G5" s="6" t="s">
        <v>54</v>
      </c>
      <c r="H5" s="6" t="s">
        <v>55</v>
      </c>
      <c r="I5" s="6" t="s">
        <v>57</v>
      </c>
      <c r="J5" s="6" t="s">
        <v>59</v>
      </c>
      <c r="K5" s="6" t="s">
        <v>61</v>
      </c>
      <c r="L5" s="8"/>
      <c r="M5" s="6" t="s">
        <v>111</v>
      </c>
    </row>
    <row r="6" ht="72.0" customHeight="1">
      <c r="A6" s="6" t="s">
        <v>113</v>
      </c>
      <c r="B6" s="6" t="s">
        <v>13</v>
      </c>
      <c r="C6" s="6" t="s">
        <v>47</v>
      </c>
      <c r="D6" s="6" t="s">
        <v>49</v>
      </c>
      <c r="E6" s="6" t="s">
        <v>116</v>
      </c>
      <c r="F6" s="6" t="s">
        <v>52</v>
      </c>
      <c r="G6" s="6" t="s">
        <v>117</v>
      </c>
      <c r="H6" s="6" t="s">
        <v>119</v>
      </c>
      <c r="I6" s="6" t="s">
        <v>120</v>
      </c>
      <c r="J6" s="6" t="s">
        <v>121</v>
      </c>
      <c r="K6" s="6" t="s">
        <v>123</v>
      </c>
      <c r="L6" s="8"/>
    </row>
    <row r="7" ht="72.0" customHeight="1">
      <c r="A7" s="6" t="s">
        <v>127</v>
      </c>
      <c r="B7" s="6" t="s">
        <v>13</v>
      </c>
      <c r="C7" s="6" t="s">
        <v>47</v>
      </c>
      <c r="D7" s="6" t="s">
        <v>49</v>
      </c>
      <c r="E7" s="6" t="s">
        <v>130</v>
      </c>
      <c r="F7" s="6" t="s">
        <v>52</v>
      </c>
      <c r="G7" s="6" t="s">
        <v>132</v>
      </c>
      <c r="H7" s="6" t="s">
        <v>119</v>
      </c>
      <c r="I7" s="6" t="s">
        <v>133</v>
      </c>
      <c r="J7" s="6" t="s">
        <v>134</v>
      </c>
      <c r="K7" s="6" t="s">
        <v>123</v>
      </c>
      <c r="L7" s="8" t="s">
        <v>135</v>
      </c>
    </row>
    <row r="8" ht="72.0" customHeight="1">
      <c r="A8" s="6" t="s">
        <v>136</v>
      </c>
      <c r="B8" s="6" t="s">
        <v>13</v>
      </c>
      <c r="C8" s="6" t="s">
        <v>47</v>
      </c>
      <c r="D8" s="6" t="s">
        <v>49</v>
      </c>
      <c r="E8" s="6" t="s">
        <v>137</v>
      </c>
      <c r="F8" s="6" t="s">
        <v>52</v>
      </c>
      <c r="G8" s="6" t="s">
        <v>139</v>
      </c>
      <c r="H8" s="6" t="s">
        <v>141</v>
      </c>
      <c r="I8" s="6" t="s">
        <v>143</v>
      </c>
      <c r="J8" s="6" t="s">
        <v>144</v>
      </c>
      <c r="K8" s="6" t="s">
        <v>146</v>
      </c>
      <c r="L8" s="8" t="s">
        <v>148</v>
      </c>
    </row>
    <row r="9" ht="72.0" customHeight="1">
      <c r="A9" s="6" t="s">
        <v>150</v>
      </c>
      <c r="B9" s="6" t="s">
        <v>13</v>
      </c>
      <c r="C9" s="6" t="s">
        <v>47</v>
      </c>
      <c r="D9" s="6" t="s">
        <v>49</v>
      </c>
      <c r="E9" s="6" t="s">
        <v>153</v>
      </c>
      <c r="F9" s="6" t="s">
        <v>52</v>
      </c>
      <c r="G9" s="6" t="s">
        <v>155</v>
      </c>
      <c r="H9" s="6" t="s">
        <v>156</v>
      </c>
      <c r="I9" s="6" t="s">
        <v>158</v>
      </c>
      <c r="J9" s="6" t="s">
        <v>159</v>
      </c>
      <c r="K9" s="6" t="s">
        <v>123</v>
      </c>
      <c r="L9" s="9"/>
    </row>
    <row r="10" ht="72.0" customHeight="1">
      <c r="A10" s="6" t="s">
        <v>171</v>
      </c>
      <c r="B10" s="6" t="s">
        <v>13</v>
      </c>
      <c r="C10" s="6" t="s">
        <v>47</v>
      </c>
      <c r="D10" s="6" t="s">
        <v>172</v>
      </c>
      <c r="E10" s="6" t="s">
        <v>173</v>
      </c>
      <c r="F10" s="6" t="s">
        <v>52</v>
      </c>
      <c r="G10" s="6" t="s">
        <v>175</v>
      </c>
      <c r="H10" s="6" t="s">
        <v>176</v>
      </c>
      <c r="I10" s="6" t="s">
        <v>177</v>
      </c>
      <c r="J10" s="6" t="s">
        <v>178</v>
      </c>
      <c r="K10" s="6" t="s">
        <v>61</v>
      </c>
      <c r="L10" s="8" t="s">
        <v>179</v>
      </c>
    </row>
    <row r="11" ht="72.0" customHeight="1">
      <c r="A11" s="6" t="s">
        <v>180</v>
      </c>
      <c r="B11" s="6" t="s">
        <v>13</v>
      </c>
      <c r="C11" s="6" t="s">
        <v>47</v>
      </c>
      <c r="D11" s="6" t="s">
        <v>172</v>
      </c>
      <c r="E11" s="6" t="s">
        <v>182</v>
      </c>
      <c r="F11" s="6" t="s">
        <v>52</v>
      </c>
      <c r="G11" s="6" t="s">
        <v>183</v>
      </c>
      <c r="H11" s="6" t="s">
        <v>156</v>
      </c>
      <c r="I11" s="6" t="s">
        <v>185</v>
      </c>
      <c r="J11" s="6" t="s">
        <v>186</v>
      </c>
      <c r="K11" s="6" t="s">
        <v>123</v>
      </c>
      <c r="L11" s="9"/>
    </row>
    <row r="12" ht="72.0" customHeight="1">
      <c r="A12" s="6" t="s">
        <v>188</v>
      </c>
      <c r="B12" s="6" t="s">
        <v>13</v>
      </c>
      <c r="C12" s="6" t="s">
        <v>189</v>
      </c>
      <c r="D12" s="6" t="s">
        <v>190</v>
      </c>
      <c r="E12" s="6" t="s">
        <v>191</v>
      </c>
      <c r="F12" s="6" t="s">
        <v>193</v>
      </c>
      <c r="G12" s="6" t="s">
        <v>194</v>
      </c>
      <c r="H12" s="6" t="s">
        <v>55</v>
      </c>
      <c r="I12" s="6" t="s">
        <v>195</v>
      </c>
      <c r="J12" s="6" t="s">
        <v>196</v>
      </c>
      <c r="K12" s="6" t="s">
        <v>61</v>
      </c>
      <c r="L12" s="9"/>
    </row>
    <row r="13" ht="72.0" customHeight="1">
      <c r="A13" s="6" t="s">
        <v>198</v>
      </c>
      <c r="B13" s="6" t="s">
        <v>13</v>
      </c>
      <c r="C13" s="6" t="s">
        <v>47</v>
      </c>
      <c r="D13" s="6" t="s">
        <v>199</v>
      </c>
      <c r="E13" s="6" t="s">
        <v>201</v>
      </c>
      <c r="F13" s="6" t="s">
        <v>193</v>
      </c>
      <c r="G13" s="6" t="s">
        <v>194</v>
      </c>
      <c r="H13" s="6" t="s">
        <v>55</v>
      </c>
      <c r="I13" s="6" t="s">
        <v>202</v>
      </c>
      <c r="J13" s="6" t="s">
        <v>203</v>
      </c>
      <c r="K13" s="6" t="s">
        <v>61</v>
      </c>
      <c r="L13" s="8" t="s">
        <v>205</v>
      </c>
    </row>
    <row r="14" ht="72.0" customHeight="1">
      <c r="A14" s="6" t="s">
        <v>206</v>
      </c>
      <c r="B14" s="6" t="s">
        <v>208</v>
      </c>
      <c r="C14" s="6" t="s">
        <v>189</v>
      </c>
      <c r="D14" s="6" t="s">
        <v>209</v>
      </c>
      <c r="E14" s="6" t="s">
        <v>210</v>
      </c>
      <c r="F14" s="6" t="s">
        <v>211</v>
      </c>
      <c r="G14" s="6" t="s">
        <v>194</v>
      </c>
      <c r="H14" s="6" t="s">
        <v>55</v>
      </c>
      <c r="I14" s="6" t="s">
        <v>213</v>
      </c>
      <c r="J14" s="6" t="s">
        <v>214</v>
      </c>
      <c r="K14" s="6" t="s">
        <v>61</v>
      </c>
      <c r="L14" s="9"/>
    </row>
    <row r="15" ht="72.0" customHeight="1">
      <c r="A15" s="6" t="s">
        <v>216</v>
      </c>
      <c r="B15" s="6" t="s">
        <v>208</v>
      </c>
      <c r="C15" s="6" t="s">
        <v>189</v>
      </c>
      <c r="D15" s="6" t="s">
        <v>217</v>
      </c>
      <c r="E15" s="6" t="s">
        <v>219</v>
      </c>
      <c r="F15" s="6" t="s">
        <v>211</v>
      </c>
      <c r="G15" s="6" t="s">
        <v>220</v>
      </c>
      <c r="H15" s="6" t="s">
        <v>55</v>
      </c>
      <c r="I15" s="6" t="s">
        <v>221</v>
      </c>
      <c r="J15" s="6" t="s">
        <v>222</v>
      </c>
      <c r="K15" s="6" t="s">
        <v>61</v>
      </c>
      <c r="L15" s="9"/>
    </row>
    <row r="16" ht="72.0" customHeight="1">
      <c r="A16" s="6" t="s">
        <v>224</v>
      </c>
      <c r="B16" s="6" t="s">
        <v>208</v>
      </c>
      <c r="C16" s="6" t="s">
        <v>47</v>
      </c>
      <c r="D16" s="6" t="s">
        <v>209</v>
      </c>
      <c r="E16" s="6" t="s">
        <v>226</v>
      </c>
      <c r="F16" s="6" t="s">
        <v>227</v>
      </c>
      <c r="G16" s="6" t="s">
        <v>228</v>
      </c>
      <c r="H16" s="6" t="s">
        <v>176</v>
      </c>
      <c r="I16" s="6" t="s">
        <v>230</v>
      </c>
      <c r="J16" s="6" t="s">
        <v>231</v>
      </c>
      <c r="K16" s="6" t="s">
        <v>61</v>
      </c>
      <c r="L16" s="8" t="s">
        <v>233</v>
      </c>
    </row>
    <row r="17" ht="72.0" customHeight="1">
      <c r="A17" s="6" t="s">
        <v>234</v>
      </c>
      <c r="B17" s="6" t="s">
        <v>208</v>
      </c>
      <c r="C17" s="6" t="s">
        <v>47</v>
      </c>
      <c r="D17" s="6" t="s">
        <v>209</v>
      </c>
      <c r="E17" s="6" t="s">
        <v>235</v>
      </c>
      <c r="F17" s="6" t="s">
        <v>211</v>
      </c>
      <c r="G17" s="6" t="s">
        <v>236</v>
      </c>
      <c r="H17" s="6" t="s">
        <v>156</v>
      </c>
      <c r="I17" s="6" t="s">
        <v>237</v>
      </c>
      <c r="J17" s="6" t="s">
        <v>238</v>
      </c>
      <c r="K17" s="6" t="s">
        <v>123</v>
      </c>
      <c r="L17" s="9"/>
    </row>
    <row r="18" ht="72.0" customHeight="1">
      <c r="A18" s="6" t="s">
        <v>239</v>
      </c>
      <c r="B18" s="6" t="s">
        <v>208</v>
      </c>
      <c r="C18" s="6" t="s">
        <v>240</v>
      </c>
      <c r="D18" s="6" t="s">
        <v>241</v>
      </c>
      <c r="E18" s="6" t="s">
        <v>242</v>
      </c>
      <c r="F18" s="6" t="s">
        <v>211</v>
      </c>
      <c r="G18" s="6" t="s">
        <v>243</v>
      </c>
      <c r="H18" s="6" t="s">
        <v>55</v>
      </c>
      <c r="I18" s="6" t="s">
        <v>244</v>
      </c>
      <c r="J18" s="6" t="s">
        <v>245</v>
      </c>
      <c r="K18" s="6" t="s">
        <v>61</v>
      </c>
      <c r="L18" s="8" t="s">
        <v>246</v>
      </c>
    </row>
    <row r="19" ht="72.0" customHeight="1">
      <c r="A19" s="6" t="s">
        <v>247</v>
      </c>
      <c r="B19" s="6" t="s">
        <v>208</v>
      </c>
      <c r="C19" s="6" t="s">
        <v>248</v>
      </c>
      <c r="D19" s="6" t="s">
        <v>241</v>
      </c>
      <c r="E19" s="6" t="s">
        <v>249</v>
      </c>
      <c r="F19" s="6" t="s">
        <v>211</v>
      </c>
      <c r="G19" s="6" t="s">
        <v>194</v>
      </c>
      <c r="H19" s="6" t="s">
        <v>55</v>
      </c>
      <c r="I19" s="6" t="s">
        <v>250</v>
      </c>
      <c r="J19" s="6" t="s">
        <v>251</v>
      </c>
      <c r="K19" s="6" t="s">
        <v>61</v>
      </c>
      <c r="L19" s="9"/>
    </row>
    <row r="20" ht="72.0" customHeight="1">
      <c r="A20" s="6" t="s">
        <v>252</v>
      </c>
      <c r="B20" s="6" t="s">
        <v>253</v>
      </c>
      <c r="C20" s="6" t="s">
        <v>189</v>
      </c>
      <c r="D20" s="6" t="s">
        <v>254</v>
      </c>
      <c r="E20" s="6" t="s">
        <v>255</v>
      </c>
      <c r="F20" s="6" t="s">
        <v>211</v>
      </c>
      <c r="G20" s="6" t="s">
        <v>194</v>
      </c>
      <c r="H20" s="6" t="s">
        <v>55</v>
      </c>
      <c r="I20" s="6" t="s">
        <v>256</v>
      </c>
      <c r="J20" s="6" t="s">
        <v>257</v>
      </c>
      <c r="K20" s="6" t="s">
        <v>61</v>
      </c>
      <c r="L20" s="9"/>
    </row>
    <row r="21" ht="72.0" customHeight="1">
      <c r="A21" s="6" t="s">
        <v>258</v>
      </c>
      <c r="B21" s="6" t="s">
        <v>253</v>
      </c>
      <c r="C21" s="6" t="s">
        <v>47</v>
      </c>
      <c r="D21" s="6" t="s">
        <v>254</v>
      </c>
      <c r="E21" s="6" t="s">
        <v>259</v>
      </c>
      <c r="F21" s="6" t="s">
        <v>211</v>
      </c>
      <c r="G21" s="6" t="s">
        <v>260</v>
      </c>
      <c r="H21" s="6" t="s">
        <v>176</v>
      </c>
      <c r="I21" s="6" t="s">
        <v>261</v>
      </c>
      <c r="J21" s="6" t="s">
        <v>262</v>
      </c>
      <c r="K21" s="6" t="s">
        <v>61</v>
      </c>
      <c r="L21" s="9"/>
    </row>
    <row r="22" ht="72.0" customHeight="1">
      <c r="A22" s="6" t="s">
        <v>263</v>
      </c>
      <c r="B22" s="6" t="s">
        <v>253</v>
      </c>
      <c r="C22" s="6" t="s">
        <v>47</v>
      </c>
      <c r="D22" s="6" t="s">
        <v>254</v>
      </c>
      <c r="E22" s="6" t="s">
        <v>264</v>
      </c>
      <c r="F22" s="6" t="s">
        <v>211</v>
      </c>
      <c r="G22" s="6" t="s">
        <v>265</v>
      </c>
      <c r="H22" s="6" t="s">
        <v>156</v>
      </c>
      <c r="I22" s="6" t="s">
        <v>158</v>
      </c>
      <c r="J22" s="6" t="s">
        <v>159</v>
      </c>
      <c r="K22" s="6" t="s">
        <v>123</v>
      </c>
      <c r="L22" s="9"/>
    </row>
    <row r="23" ht="72.0" customHeight="1">
      <c r="A23" s="6" t="s">
        <v>266</v>
      </c>
      <c r="B23" s="6" t="s">
        <v>253</v>
      </c>
      <c r="C23" s="6" t="s">
        <v>248</v>
      </c>
      <c r="D23" s="6" t="s">
        <v>267</v>
      </c>
      <c r="E23" s="6" t="s">
        <v>268</v>
      </c>
      <c r="F23" s="6" t="s">
        <v>211</v>
      </c>
      <c r="G23" s="6" t="s">
        <v>269</v>
      </c>
      <c r="H23" s="6" t="s">
        <v>156</v>
      </c>
      <c r="I23" s="6" t="s">
        <v>270</v>
      </c>
      <c r="J23" s="6" t="s">
        <v>271</v>
      </c>
      <c r="K23" s="6" t="s">
        <v>272</v>
      </c>
      <c r="L23" s="9"/>
    </row>
    <row r="24" ht="72.0" customHeight="1">
      <c r="A24" s="6" t="s">
        <v>273</v>
      </c>
      <c r="B24" s="6" t="s">
        <v>69</v>
      </c>
      <c r="C24" s="6" t="s">
        <v>189</v>
      </c>
      <c r="D24" s="6" t="s">
        <v>274</v>
      </c>
      <c r="E24" s="6" t="s">
        <v>275</v>
      </c>
      <c r="F24" s="6" t="s">
        <v>211</v>
      </c>
      <c r="G24" s="6" t="s">
        <v>276</v>
      </c>
      <c r="H24" s="6" t="s">
        <v>55</v>
      </c>
      <c r="I24" s="6" t="s">
        <v>277</v>
      </c>
      <c r="J24" s="6" t="s">
        <v>278</v>
      </c>
      <c r="K24" s="6" t="s">
        <v>61</v>
      </c>
      <c r="L24" s="9"/>
    </row>
    <row r="25" ht="72.0" customHeight="1">
      <c r="A25" s="6" t="s">
        <v>279</v>
      </c>
      <c r="B25" s="6" t="s">
        <v>69</v>
      </c>
      <c r="C25" s="6" t="s">
        <v>47</v>
      </c>
      <c r="D25" s="6" t="s">
        <v>274</v>
      </c>
      <c r="E25" s="6" t="s">
        <v>280</v>
      </c>
      <c r="F25" s="6" t="s">
        <v>211</v>
      </c>
      <c r="G25" s="6" t="s">
        <v>281</v>
      </c>
      <c r="H25" s="6" t="s">
        <v>176</v>
      </c>
      <c r="I25" s="6" t="s">
        <v>282</v>
      </c>
      <c r="J25" s="6" t="s">
        <v>283</v>
      </c>
      <c r="K25" s="6" t="s">
        <v>61</v>
      </c>
      <c r="L25" s="9"/>
    </row>
    <row r="26" ht="72.0" customHeight="1">
      <c r="A26" s="6" t="s">
        <v>284</v>
      </c>
      <c r="B26" s="6" t="s">
        <v>69</v>
      </c>
      <c r="C26" s="6" t="s">
        <v>47</v>
      </c>
      <c r="D26" s="6" t="s">
        <v>274</v>
      </c>
      <c r="E26" s="6" t="s">
        <v>285</v>
      </c>
      <c r="F26" s="6" t="s">
        <v>211</v>
      </c>
      <c r="G26" s="6" t="s">
        <v>286</v>
      </c>
      <c r="H26" s="6" t="s">
        <v>156</v>
      </c>
      <c r="I26" s="6" t="s">
        <v>287</v>
      </c>
      <c r="J26" s="6" t="s">
        <v>288</v>
      </c>
      <c r="K26" s="6" t="s">
        <v>289</v>
      </c>
      <c r="L26" s="9"/>
    </row>
    <row r="27" ht="72.0" customHeight="1">
      <c r="A27" s="6" t="s">
        <v>290</v>
      </c>
      <c r="B27" s="6" t="s">
        <v>69</v>
      </c>
      <c r="C27" s="6" t="s">
        <v>189</v>
      </c>
      <c r="D27" s="6" t="s">
        <v>291</v>
      </c>
      <c r="E27" s="6" t="s">
        <v>292</v>
      </c>
      <c r="F27" s="6" t="s">
        <v>211</v>
      </c>
      <c r="G27" s="6" t="s">
        <v>194</v>
      </c>
      <c r="H27" s="6" t="s">
        <v>55</v>
      </c>
      <c r="I27" s="6" t="s">
        <v>293</v>
      </c>
      <c r="J27" s="6" t="s">
        <v>294</v>
      </c>
      <c r="K27" s="6" t="s">
        <v>61</v>
      </c>
      <c r="L27" s="9"/>
    </row>
    <row r="28" ht="72.0" customHeight="1">
      <c r="A28" s="6" t="s">
        <v>295</v>
      </c>
      <c r="B28" s="6" t="s">
        <v>296</v>
      </c>
      <c r="C28" s="6" t="s">
        <v>189</v>
      </c>
      <c r="D28" s="6" t="s">
        <v>297</v>
      </c>
      <c r="E28" s="6" t="s">
        <v>298</v>
      </c>
      <c r="F28" s="6" t="s">
        <v>299</v>
      </c>
      <c r="G28" s="6" t="s">
        <v>300</v>
      </c>
      <c r="H28" s="6" t="s">
        <v>55</v>
      </c>
      <c r="I28" s="6" t="s">
        <v>307</v>
      </c>
      <c r="J28" s="6" t="s">
        <v>308</v>
      </c>
      <c r="K28" s="6" t="s">
        <v>61</v>
      </c>
      <c r="L28" s="9"/>
    </row>
    <row r="29" ht="72.0" customHeight="1">
      <c r="A29" s="6" t="s">
        <v>309</v>
      </c>
      <c r="B29" s="6" t="s">
        <v>296</v>
      </c>
      <c r="C29" s="6" t="s">
        <v>47</v>
      </c>
      <c r="D29" s="6" t="s">
        <v>310</v>
      </c>
      <c r="E29" s="6" t="s">
        <v>311</v>
      </c>
      <c r="F29" s="6" t="s">
        <v>299</v>
      </c>
      <c r="G29" s="6" t="s">
        <v>312</v>
      </c>
      <c r="H29" s="6" t="s">
        <v>313</v>
      </c>
      <c r="I29" s="6" t="s">
        <v>194</v>
      </c>
      <c r="J29" s="6" t="s">
        <v>314</v>
      </c>
      <c r="K29" s="6" t="s">
        <v>315</v>
      </c>
      <c r="L29" s="9"/>
    </row>
    <row r="30" ht="72.0" customHeight="1">
      <c r="A30" s="6" t="s">
        <v>316</v>
      </c>
      <c r="B30" s="6" t="s">
        <v>296</v>
      </c>
      <c r="C30" s="6" t="s">
        <v>47</v>
      </c>
      <c r="D30" s="6" t="s">
        <v>310</v>
      </c>
      <c r="E30" s="6" t="s">
        <v>317</v>
      </c>
      <c r="F30" s="6" t="s">
        <v>299</v>
      </c>
      <c r="G30" s="6" t="s">
        <v>318</v>
      </c>
      <c r="H30" s="6" t="s">
        <v>156</v>
      </c>
      <c r="I30" s="6" t="s">
        <v>319</v>
      </c>
      <c r="J30" s="6" t="s">
        <v>320</v>
      </c>
      <c r="K30" s="6" t="s">
        <v>321</v>
      </c>
      <c r="L30" s="9"/>
    </row>
    <row r="31" ht="72.0" customHeight="1">
      <c r="A31" s="6" t="s">
        <v>322</v>
      </c>
      <c r="B31" s="6" t="s">
        <v>323</v>
      </c>
      <c r="C31" s="6" t="s">
        <v>189</v>
      </c>
      <c r="D31" s="6" t="s">
        <v>324</v>
      </c>
      <c r="E31" s="6" t="s">
        <v>325</v>
      </c>
      <c r="F31" s="6" t="s">
        <v>193</v>
      </c>
      <c r="G31" s="6" t="s">
        <v>194</v>
      </c>
      <c r="H31" s="6" t="s">
        <v>55</v>
      </c>
      <c r="I31" s="6" t="s">
        <v>326</v>
      </c>
      <c r="J31" s="6" t="s">
        <v>327</v>
      </c>
      <c r="K31" s="6" t="s">
        <v>61</v>
      </c>
      <c r="L31" s="9"/>
    </row>
    <row r="32" ht="72.0" customHeight="1">
      <c r="A32" s="6" t="s">
        <v>328</v>
      </c>
      <c r="B32" s="6" t="s">
        <v>323</v>
      </c>
      <c r="C32" s="6" t="s">
        <v>189</v>
      </c>
      <c r="D32" s="6" t="s">
        <v>329</v>
      </c>
      <c r="E32" s="6" t="s">
        <v>330</v>
      </c>
      <c r="F32" s="6" t="s">
        <v>193</v>
      </c>
      <c r="G32" s="6" t="s">
        <v>194</v>
      </c>
      <c r="H32" s="6" t="s">
        <v>55</v>
      </c>
      <c r="I32" s="6" t="s">
        <v>331</v>
      </c>
      <c r="J32" s="6" t="s">
        <v>327</v>
      </c>
      <c r="K32" s="6" t="s">
        <v>61</v>
      </c>
      <c r="L32" s="9"/>
    </row>
    <row r="33" ht="72.0" customHeight="1">
      <c r="A33" s="6" t="s">
        <v>332</v>
      </c>
      <c r="B33" s="6" t="s">
        <v>333</v>
      </c>
      <c r="C33" s="6" t="s">
        <v>189</v>
      </c>
      <c r="D33" s="6" t="s">
        <v>209</v>
      </c>
      <c r="E33" s="6" t="s">
        <v>334</v>
      </c>
      <c r="F33" s="6" t="s">
        <v>193</v>
      </c>
      <c r="G33" s="6" t="s">
        <v>194</v>
      </c>
      <c r="H33" s="6" t="s">
        <v>335</v>
      </c>
      <c r="I33" s="6" t="s">
        <v>336</v>
      </c>
      <c r="J33" s="6" t="s">
        <v>337</v>
      </c>
      <c r="K33" s="6" t="s">
        <v>315</v>
      </c>
      <c r="L33" s="9"/>
    </row>
    <row r="34" ht="72.0" customHeight="1">
      <c r="A34" s="6" t="s">
        <v>338</v>
      </c>
      <c r="B34" s="6" t="s">
        <v>333</v>
      </c>
      <c r="C34" s="6" t="s">
        <v>189</v>
      </c>
      <c r="D34" s="6" t="s">
        <v>209</v>
      </c>
      <c r="E34" s="6" t="s">
        <v>339</v>
      </c>
      <c r="F34" s="6" t="s">
        <v>340</v>
      </c>
      <c r="G34" s="6" t="s">
        <v>194</v>
      </c>
      <c r="H34" s="6" t="s">
        <v>119</v>
      </c>
      <c r="I34" s="6" t="s">
        <v>341</v>
      </c>
      <c r="J34" s="6" t="s">
        <v>342</v>
      </c>
      <c r="K34" s="6" t="s">
        <v>315</v>
      </c>
      <c r="L34" s="9"/>
    </row>
    <row r="35" ht="72.0" customHeight="1">
      <c r="A35" s="6" t="s">
        <v>343</v>
      </c>
      <c r="B35" s="6" t="s">
        <v>333</v>
      </c>
      <c r="C35" s="6" t="s">
        <v>189</v>
      </c>
      <c r="D35" s="6" t="s">
        <v>344</v>
      </c>
      <c r="E35" s="6" t="s">
        <v>345</v>
      </c>
      <c r="F35" s="6" t="s">
        <v>211</v>
      </c>
      <c r="G35" s="6" t="s">
        <v>194</v>
      </c>
      <c r="H35" s="6" t="s">
        <v>55</v>
      </c>
      <c r="I35" s="6" t="s">
        <v>346</v>
      </c>
      <c r="J35" s="6" t="s">
        <v>327</v>
      </c>
      <c r="K35" s="6" t="s">
        <v>347</v>
      </c>
      <c r="L35" s="9"/>
    </row>
    <row r="36" ht="72.0" customHeight="1">
      <c r="A36" s="6" t="s">
        <v>348</v>
      </c>
      <c r="B36" s="6" t="s">
        <v>349</v>
      </c>
      <c r="C36" s="6" t="s">
        <v>47</v>
      </c>
      <c r="D36" s="6" t="s">
        <v>49</v>
      </c>
      <c r="E36" s="6" t="s">
        <v>350</v>
      </c>
      <c r="F36" s="6" t="s">
        <v>52</v>
      </c>
      <c r="G36" s="6" t="s">
        <v>351</v>
      </c>
      <c r="H36" s="6" t="s">
        <v>352</v>
      </c>
      <c r="I36" s="6" t="s">
        <v>353</v>
      </c>
      <c r="J36" s="6" t="s">
        <v>354</v>
      </c>
      <c r="K36" s="6" t="s">
        <v>349</v>
      </c>
      <c r="L36" s="9"/>
    </row>
    <row r="37" ht="72.0" customHeight="1">
      <c r="A37" s="6" t="s">
        <v>355</v>
      </c>
      <c r="B37" s="6" t="s">
        <v>349</v>
      </c>
      <c r="C37" s="6" t="s">
        <v>47</v>
      </c>
      <c r="D37" s="6" t="s">
        <v>172</v>
      </c>
      <c r="E37" s="6" t="s">
        <v>356</v>
      </c>
      <c r="F37" s="6" t="s">
        <v>52</v>
      </c>
      <c r="G37" s="6" t="s">
        <v>357</v>
      </c>
      <c r="H37" s="6" t="s">
        <v>156</v>
      </c>
      <c r="I37" s="6" t="s">
        <v>358</v>
      </c>
      <c r="J37" s="6" t="s">
        <v>359</v>
      </c>
      <c r="K37" s="6" t="s">
        <v>321</v>
      </c>
      <c r="L37" s="9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M$37"/>
  <conditionalFormatting sqref="L5:L37">
    <cfRule type="cellIs" dxfId="0" priority="1" operator="equal">
      <formula>"Pass"</formula>
    </cfRule>
  </conditionalFormatting>
  <conditionalFormatting sqref="L5:L37">
    <cfRule type="cellIs" dxfId="1" priority="2" operator="equal">
      <formula>"Fail"</formula>
    </cfRule>
  </conditionalFormatting>
  <conditionalFormatting sqref="L5:L37">
    <cfRule type="cellIs" dxfId="2" priority="3" operator="equal">
      <formula>"Blocked"</formula>
    </cfRule>
  </conditionalFormatting>
  <dataValidations>
    <dataValidation type="list" allowBlank="1" sqref="L5:L37">
      <formula1>"Pass,Fail,Blocked,Not run"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6" width="16.0"/>
    <col customWidth="1" min="7" max="26" width="8.71"/>
  </cols>
  <sheetData>
    <row r="1">
      <c r="A1" s="1" t="s">
        <v>301</v>
      </c>
    </row>
    <row r="3">
      <c r="A3" s="5" t="s">
        <v>34</v>
      </c>
      <c r="B3" s="5" t="s">
        <v>302</v>
      </c>
      <c r="C3" s="5" t="s">
        <v>303</v>
      </c>
      <c r="D3" s="5" t="s">
        <v>304</v>
      </c>
      <c r="E3" s="5" t="s">
        <v>305</v>
      </c>
      <c r="F3" s="5" t="s">
        <v>306</v>
      </c>
    </row>
    <row r="4">
      <c r="A4" s="10" t="s">
        <v>13</v>
      </c>
      <c r="B4" s="10">
        <f>COUNTIF('4. Test Cases ReadyAPI'!$B$5:$B$37,A4)</f>
        <v>9</v>
      </c>
      <c r="C4" s="10">
        <f>COUNTIFS('4. Test Cases ReadyAPI'!$B$5:$B$37,A4,'4. Test Cases ReadyAPI'!$L$5:$L$37,"Pass")</f>
        <v>0</v>
      </c>
      <c r="D4" s="10">
        <f>COUNTIFS('4. Test Cases ReadyAPI'!$B$5:$B$37,A4,'4. Test Cases ReadyAPI'!$L$5:$L$37,"Fail")</f>
        <v>0</v>
      </c>
      <c r="E4" s="10">
        <f t="shared" ref="E4:E11" si="1">B4-C4-D4</f>
        <v>9</v>
      </c>
      <c r="F4" s="11">
        <f t="shared" ref="F4:F12" si="2">IF(B4=0,0,C4/B4)</f>
        <v>0</v>
      </c>
    </row>
    <row r="5">
      <c r="A5" s="10" t="s">
        <v>208</v>
      </c>
      <c r="B5" s="10">
        <f>COUNTIF('4. Test Cases ReadyAPI'!$B$5:$B$37,A5)</f>
        <v>6</v>
      </c>
      <c r="C5" s="10">
        <f>COUNTIFS('4. Test Cases ReadyAPI'!$B$5:$B$37,A5,'4. Test Cases ReadyAPI'!$L$5:$L$37,"Pass")</f>
        <v>0</v>
      </c>
      <c r="D5" s="10">
        <f>COUNTIFS('4. Test Cases ReadyAPI'!$B$5:$B$37,A5,'4. Test Cases ReadyAPI'!$L$5:$L$37,"Fail")</f>
        <v>0</v>
      </c>
      <c r="E5" s="10">
        <f t="shared" si="1"/>
        <v>6</v>
      </c>
      <c r="F5" s="11">
        <f t="shared" si="2"/>
        <v>0</v>
      </c>
    </row>
    <row r="6">
      <c r="A6" s="10" t="s">
        <v>253</v>
      </c>
      <c r="B6" s="10">
        <f>COUNTIF('4. Test Cases ReadyAPI'!$B$5:$B$37,A6)</f>
        <v>4</v>
      </c>
      <c r="C6" s="10">
        <f>COUNTIFS('4. Test Cases ReadyAPI'!$B$5:$B$37,A6,'4. Test Cases ReadyAPI'!$L$5:$L$37,"Pass")</f>
        <v>0</v>
      </c>
      <c r="D6" s="10">
        <f>COUNTIFS('4. Test Cases ReadyAPI'!$B$5:$B$37,A6,'4. Test Cases ReadyAPI'!$L$5:$L$37,"Fail")</f>
        <v>0</v>
      </c>
      <c r="E6" s="10">
        <f t="shared" si="1"/>
        <v>4</v>
      </c>
      <c r="F6" s="11">
        <f t="shared" si="2"/>
        <v>0</v>
      </c>
    </row>
    <row r="7">
      <c r="A7" s="10" t="s">
        <v>69</v>
      </c>
      <c r="B7" s="10">
        <f>COUNTIF('4. Test Cases ReadyAPI'!$B$5:$B$37,A7)</f>
        <v>4</v>
      </c>
      <c r="C7" s="10">
        <f>COUNTIFS('4. Test Cases ReadyAPI'!$B$5:$B$37,A7,'4. Test Cases ReadyAPI'!$L$5:$L$37,"Pass")</f>
        <v>0</v>
      </c>
      <c r="D7" s="10">
        <f>COUNTIFS('4. Test Cases ReadyAPI'!$B$5:$B$37,A7,'4. Test Cases ReadyAPI'!$L$5:$L$37,"Fail")</f>
        <v>0</v>
      </c>
      <c r="E7" s="10">
        <f t="shared" si="1"/>
        <v>4</v>
      </c>
      <c r="F7" s="11">
        <f t="shared" si="2"/>
        <v>0</v>
      </c>
    </row>
    <row r="8">
      <c r="A8" s="10" t="s">
        <v>296</v>
      </c>
      <c r="B8" s="10">
        <f>COUNTIF('4. Test Cases ReadyAPI'!$B$5:$B$37,A8)</f>
        <v>3</v>
      </c>
      <c r="C8" s="10">
        <f>COUNTIFS('4. Test Cases ReadyAPI'!$B$5:$B$37,A8,'4. Test Cases ReadyAPI'!$L$5:$L$37,"Pass")</f>
        <v>0</v>
      </c>
      <c r="D8" s="10">
        <f>COUNTIFS('4. Test Cases ReadyAPI'!$B$5:$B$37,A8,'4. Test Cases ReadyAPI'!$L$5:$L$37,"Fail")</f>
        <v>0</v>
      </c>
      <c r="E8" s="10">
        <f t="shared" si="1"/>
        <v>3</v>
      </c>
      <c r="F8" s="11">
        <f t="shared" si="2"/>
        <v>0</v>
      </c>
    </row>
    <row r="9">
      <c r="A9" s="10" t="s">
        <v>323</v>
      </c>
      <c r="B9" s="10">
        <f>COUNTIF('4. Test Cases ReadyAPI'!$B$5:$B$37,A9)</f>
        <v>2</v>
      </c>
      <c r="C9" s="10">
        <f>COUNTIFS('4. Test Cases ReadyAPI'!$B$5:$B$37,A9,'4. Test Cases ReadyAPI'!$L$5:$L$37,"Pass")</f>
        <v>0</v>
      </c>
      <c r="D9" s="10">
        <f>COUNTIFS('4. Test Cases ReadyAPI'!$B$5:$B$37,A9,'4. Test Cases ReadyAPI'!$L$5:$L$37,"Fail")</f>
        <v>0</v>
      </c>
      <c r="E9" s="10">
        <f t="shared" si="1"/>
        <v>2</v>
      </c>
      <c r="F9" s="11">
        <f t="shared" si="2"/>
        <v>0</v>
      </c>
    </row>
    <row r="10">
      <c r="A10" s="10" t="s">
        <v>333</v>
      </c>
      <c r="B10" s="10">
        <f>COUNTIF('4. Test Cases ReadyAPI'!$B$5:$B$37,A10)</f>
        <v>3</v>
      </c>
      <c r="C10" s="10">
        <f>COUNTIFS('4. Test Cases ReadyAPI'!$B$5:$B$37,A10,'4. Test Cases ReadyAPI'!$L$5:$L$37,"Pass")</f>
        <v>0</v>
      </c>
      <c r="D10" s="10">
        <f>COUNTIFS('4. Test Cases ReadyAPI'!$B$5:$B$37,A10,'4. Test Cases ReadyAPI'!$L$5:$L$37,"Fail")</f>
        <v>0</v>
      </c>
      <c r="E10" s="10">
        <f t="shared" si="1"/>
        <v>3</v>
      </c>
      <c r="F10" s="11">
        <f t="shared" si="2"/>
        <v>0</v>
      </c>
    </row>
    <row r="11">
      <c r="A11" s="10" t="s">
        <v>349</v>
      </c>
      <c r="B11" s="10">
        <f>COUNTIF('4. Test Cases ReadyAPI'!$B$5:$B$37,A11)</f>
        <v>2</v>
      </c>
      <c r="C11" s="10">
        <f>COUNTIFS('4. Test Cases ReadyAPI'!$B$5:$B$37,A11,'4. Test Cases ReadyAPI'!$L$5:$L$37,"Pass")</f>
        <v>0</v>
      </c>
      <c r="D11" s="10">
        <f>COUNTIFS('4. Test Cases ReadyAPI'!$B$5:$B$37,A11,'4. Test Cases ReadyAPI'!$L$5:$L$37,"Fail")</f>
        <v>0</v>
      </c>
      <c r="E11" s="10">
        <f t="shared" si="1"/>
        <v>2</v>
      </c>
      <c r="F11" s="11">
        <f t="shared" si="2"/>
        <v>0</v>
      </c>
    </row>
    <row r="12">
      <c r="A12" s="12" t="s">
        <v>360</v>
      </c>
      <c r="B12" s="12">
        <f t="shared" ref="B12:E12" si="3">SUM(B4:B11)</f>
        <v>33</v>
      </c>
      <c r="C12" s="12">
        <f t="shared" si="3"/>
        <v>0</v>
      </c>
      <c r="D12" s="12">
        <f t="shared" si="3"/>
        <v>0</v>
      </c>
      <c r="E12" s="12">
        <f t="shared" si="3"/>
        <v>33</v>
      </c>
      <c r="F12" s="13">
        <f t="shared" si="2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>
  <dimension ref="A1:B23"/>
  <sheetViews>
    <sheetView workbookViewId="0">
      <pane ySplit="1" topLeftCell="A2" activePane="bottomLeft" state="frozen"/>
    </sheetView>
  </sheetViews>
  <sheetFormatPr defaultRowHeight="30"/>
  <cols>
    <col min="1" max="1" width="30" customWidth="1"/>
    <col min="2" max="2" width="115" customWidth="1"/>
  </cols>
  <sheetData>
    <row r="1" ht="32" customHeight="1">
      <c r="A1" s="0" t="inlineStr">
        <is>
          <t xml:space="preserve">Mục</t>
        </is>
      </c>
      <c r="B1" s="0" t="inlineStr">
        <is>
          <t xml:space="preserve">Nội dung</t>
        </is>
      </c>
    </row>
    <row r="2" ht="32" customHeight="1">
      <c r="A2" s="0" t="inlineStr">
        <is>
          <t xml:space="preserve">Scope</t>
        </is>
      </c>
      <c r="B2" s="0" t="inlineStr">
        <is>
          <t xml:space="preserve">33 original functional cases + 17 new NFR cases = 50; NFR includes 6 performance + 11 targeted security cases.</t>
        </is>
      </c>
    </row>
    <row r="3" ht="32" customHeight="1">
      <c r="A3" s="0" t="inlineStr">
        <is>
          <t xml:space="preserve">Status</t>
        </is>
      </c>
      <c r="B3" s="0" t="inlineStr">
        <is>
          <t xml:space="preserve">Requirements/thresholds proposed for LAB. Existing functional cases unchanged. Original sheets are preserved.</t>
        </is>
      </c>
    </row>
    <row r="4" ht="32" customHeight="1">
      <c r="A4" s="0" t="inlineStr">
        <is>
          <t xml:space="preserve">Node HTTP</t>
        </is>
      </c>
      <c r="B4" s="0" t="inlineStr">
        <is>
          <t xml:space="preserve">{"total":17,"pass":14,"fail":3,"blocked":0} | 2026-10-05T07:38:22.125Z</t>
        </is>
      </c>
    </row>
    <row r="5" ht="32" customHeight="1">
      <c r="A5" s="0" t="inlineStr">
        <is>
          <t xml:space="preserve">Groovy scripts</t>
        </is>
      </c>
      <c r="B5" s="0" t="inlineStr">
        <is>
          <t xml:space="preserve">{"total":17,"pass":13,"fail":4,"blocked":0} | 2026-10-05T07:44:17.498Z</t>
        </is>
      </c>
    </row>
    <row r="6" ht="32" customHeight="1">
      <c r="A6" s="0" t="inlineStr">
        <is>
          <t xml:space="preserve">ReadyAPI Desktop</t>
        </is>
      </c>
      <c r="B6" s="0" t="inlineStr">
        <is>
          <t xml:space="preserve">Not run. XML schema/standalone Groovy evidence is NOT GUI evidence.</t>
        </is>
      </c>
    </row>
    <row r="7" ht="150" customHeight="1">
      <c r="A7" s="0" t="inlineStr">
        <is>
          <t xml:space="preserve">Environment</t>
        </is>
      </c>
      <c r="B7" s="0" t="inlineStr">
        <is>
          <t xml:space="preserve">{
  "managed": true,
  "database": "fresh isolated seeded SQLite",
  "server": "PHP built-in single-worker development server",
  "php": "8.2.12",
  "node": "v24.12.0",
  "os": "win32 10.0.26200",
  "cpu": "AMD Ryzen 7 H 255 w/ Radeon 780M Graphics",
  "logicalCpus": 16,
  "memoryGB": 30.8,
  "bcryptRounds": 4
}</t>
        </is>
      </c>
    </row>
    <row r="8" ht="32" customHeight="1">
      <c r="A8" s="0" t="inlineStr">
        <is>
          <t xml:space="preserve">Thresholds</t>
        </is>
      </c>
      <c r="B8" s="0" t="inlineStr">
        <is>
          <t xml:space="preserve">p95: baseline 500ms; small load/mixed/stats 1000ms; spike 1500ms; short soak 750ms. All max 2000ms, errors 0. Not production SLOs.</t>
        </is>
      </c>
    </row>
    <row r="9" ht="32" customHeight="1">
      <c r="A9" s="0" t="inlineStr">
        <is>
          <t xml:space="preserve">Measurement</t>
        </is>
      </c>
      <c r="B9" s="0" t="inlineStr">
        <is>
          <t xml:space="preserve">Full body latency with monotonic clock. Nearest-rank percentile. Main sample only; login/warmup/cleanup excluded. Throughput includes pacing.</t>
        </is>
      </c>
    </row>
    <row r="10" ht="32" customHeight="1">
      <c r="A10" s="0" t="inlineStr">
        <is>
          <t xml:space="preserve">NFR variables</t>
        </is>
      </c>
      <c r="B10" s="0" t="inlineStr">
        <is>
          <t xml:space="preserve">Descriptions uniqueEmail/qaId/newSessionId/UTCtoday/role credentials are dynamic native script variables, not literal JSON values. Refer script for HTTP wire body. Standard admin fixture text applies only to cases that create a client; other cases follow the setup stated first.</t>
        </is>
      </c>
    </row>
    <row r="11" ht="32" customHeight="1">
      <c r="A11" s="0" t="inlineStr">
        <is>
          <t xml:space="preserve">Safety</t>
        </is>
      </c>
      <c r="B11" s="0" t="inlineStr">
        <is>
          <t xml:space="preserve">localhost only; explicit nfrLabOnly=true; max5 workers, &lt;=100 requests per phase, timeout5s. Login burst &lt;=25, nonexistent QA email only.</t>
        </is>
      </c>
    </row>
    <row r="12" ht="32" customHeight="1">
      <c r="A12" s="0" t="inlineStr">
        <is>
          <t xml:space="preserve">Isolation</t>
        </is>
      </c>
      <c r="B12" s="0" t="inlineStr">
        <is>
          <t xml:space="preserve">Managed mode creates fresh SQLite, migrate/seed, single-worker PHP server, BCRYPT_ROUNDS=4. Retains QA DB for evidence; stops owned server.</t>
        </is>
      </c>
    </row>
    <row r="13" ht="32" customHeight="1">
      <c r="A13" s="0" t="inlineStr">
        <is>
          <t xml:space="preserve">Code / commands</t>
        </is>
      </c>
      <c r="B13" s="0" t="inlineStr">
        <is>
          <t xml:space="preserve">testing/nfr/run-nfr.mjs --managed; --category performance/security; --case TC-NFR-...; reports JSON/HTML/JUnit.</t>
        </is>
      </c>
    </row>
    <row r="14" ht="32" customHeight="1">
      <c r="A14" s="0" t="inlineStr">
        <is>
          <t xml:space="preserve">ReadyAPI project</t>
        </is>
      </c>
      <c r="B14" s="0" t="inlineStr">
        <is>
          <t xml:space="preserve">testing/VIPSportCenter-readyapi-project.xml: 50 cases/10 suites; testing/nfr/VIPSportCenter-nfr-readyapi-project.xml: 17 NFR cases/2 suites. Both use Groovy Script steps, not native Performance/Security Test UI.</t>
        </is>
      </c>
    </row>
    <row r="15" ht="32" customHeight="1">
      <c r="A15" s="0" t="inlineStr">
        <is>
          <t xml:space="preserve">Manual / future</t>
        </is>
      </c>
      <c r="B15" s="0" t="inlineStr">
        <is>
          <t xml:space="preserve">TLS/HSTS staging HTTPS; CORS/CSRF/XSS browser testing; native load UI; approved SLO and larger datasets; CPU/memory; long soak. Not executed here.</t>
        </is>
      </c>
    </row>
    <row r="16" ht="32" customHeight="1">
      <c r="A16" s="0" t="inlineStr">
        <is>
          <t xml:space="preserve">Limitation 1</t>
        </is>
      </c>
      <c r="B16" s="0" t="inlineStr">
        <is>
          <t xml:space="preserve">Only localhost and nfrLabOnly=true are accepted. Maximum 5 workers, 100 requests per batch, 5s per request; no external stress/DoS scans.</t>
        </is>
      </c>
    </row>
    <row r="17" ht="32" customHeight="1">
      <c r="A17" s="0" t="inlineStr">
        <is>
          <t xml:space="preserve">Limitation 2</t>
        </is>
      </c>
      <c r="B17" s="0" t="inlineStr">
        <is>
          <t xml:space="preserve">PHP built-in development server is normally single-worker. Client concurrency is not proof of concurrent application processing; SQLite and seed dataset are small.</t>
        </is>
      </c>
    </row>
    <row r="18" ht="32" customHeight="1">
      <c r="A18" s="0" t="inlineStr">
        <is>
          <t xml:space="preserve">Limitation 3</t>
        </is>
      </c>
      <c r="B18" s="0" t="inlineStr">
        <is>
          <t xml:space="preserve">Client-observed latency includes full response body; excludes login/setup, warmup and cleanup. Report nearest-rank p50/p95/p99, max, throughput and error rate.</t>
        </is>
      </c>
    </row>
    <row r="19" ht="32" customHeight="1">
      <c r="A19" s="0" t="inlineStr">
        <is>
          <t xml:space="preserve">Limitation 4</t>
        </is>
      </c>
      <c r="B19" s="0" t="inlineStr">
        <is>
          <t xml:space="preserve">Performance targets and enumeration/throttle policies are proposed LAB requirements, not contractual production SLAs.</t>
        </is>
      </c>
    </row>
    <row r="20" ht="32" customHeight="1">
      <c r="A20" s="0" t="inlineStr">
        <is>
          <t xml:space="preserve">Limitation 5</t>
        </is>
      </c>
      <c r="B20" s="0" t="inlineStr">
        <is>
          <t xml:space="preserve">This is bounded performance testing and targeted API security regression, not a complete pentest, certification, production capacity benchmark or long endurance test. Object-write probe creates a new QA session on an existing seeded planning; QA sessions remain in the disposable lab DB.</t>
        </is>
      </c>
    </row>
    <row r="21" ht="32" customHeight="1">
      <c r="A21" s="0" t="inlineStr">
        <is>
          <t xml:space="preserve">Limitation 6</t>
        </is>
      </c>
      <c r="B21" s="0" t="inlineStr">
        <is>
          <t xml:space="preserve">HTTP localhost cannot validate TLS/HSTS. CORS, CSRF browser behavior, frontend XSS rendering, large production datasets, native ReadyAPI Load/Security Test UI and CPU/memory metrics remain untested.</t>
        </is>
      </c>
    </row>
    <row r="22" ht="32" customHeight="1">
      <c r="A22" s="0" t="inlineStr">
        <is>
          <t xml:space="preserve">OWASP source</t>
        </is>
      </c>
      <c r="B22" s="0" t="inlineStr">
        <is>
          <t xml:space="preserve">https://owasp.org/API-Security/editions/2023/en/0x11-t10/</t>
        </is>
      </c>
    </row>
    <row r="23" ht="32" customHeight="1">
      <c r="A23" s="0" t="inlineStr">
        <is>
          <t xml:space="preserve">SmartBear source</t>
        </is>
      </c>
      <c r="B23" s="0" t="inlineStr">
        <is>
          <t xml:space="preserve">https://support.smartbear.com/readyapi/getting-started/performance-testing/customizing-a-performance-test-part-1/</t>
        </is>
      </c>
    </row>
  </sheetData>
  <autoFilter ref="A1:B23"/>
  <pageMargins left="0.3" right="0.3" top="0.5" bottom="0.5" header="0.3" footer="0.3"/>
  <pageSetup orientation="landscape" paperSize="9"/>
</worksheet>
</file>

<file path=xl/worksheets/sheet7.xml><?xml version="1.0" encoding="utf-8"?>
<worksheet xmlns="http://schemas.openxmlformats.org/spreadsheetml/2006/main">
  <dimension ref="A1:O18"/>
  <sheetViews>
    <sheetView workbookViewId="0">
      <pane ySplit="1" topLeftCell="A2" activePane="bottomLeft" state="frozen"/>
    </sheetView>
  </sheetViews>
  <sheetFormatPr defaultRowHeight="30"/>
  <cols>
    <col min="1" max="1" width="27" customWidth="1"/>
    <col min="2" max="2" width="18" customWidth="1"/>
    <col min="3" max="3" width="50" customWidth="1"/>
    <col min="4" max="4" width="85" customWidth="1"/>
    <col min="5" max="5" width="24" customWidth="1"/>
    <col min="6" max="6" width="100" customWidth="1"/>
    <col min="7" max="7" width="80" customWidth="1"/>
    <col min="8" max="8" width="100" customWidth="1"/>
    <col min="9" max="9" width="65" customWidth="1"/>
    <col min="10" max="10" width="35" customWidth="1"/>
    <col min="11" max="11" width="16" customWidth="1"/>
    <col min="12" max="12" width="16" customWidth="1"/>
    <col min="13" max="13" width="18" customWidth="1"/>
    <col min="14" max="14" width="20" customWidth="1"/>
    <col min="15" max="15" width="100" customWidth="1"/>
  </cols>
  <sheetData>
    <row r="1" ht="32" customHeight="1">
      <c r="A1" s="0" t="inlineStr">
        <is>
          <t xml:space="preserve">TC ID</t>
        </is>
      </c>
      <c r="B1" s="0" t="inlineStr">
        <is>
          <t xml:space="preserve">Category</t>
        </is>
      </c>
      <c r="C1" s="0" t="inlineStr">
        <is>
          <t xml:space="preserve">Objective</t>
        </is>
      </c>
      <c r="D1" s="0" t="inlineStr">
        <is>
          <t xml:space="preserve">Requirement / proposed policy</t>
        </is>
      </c>
      <c r="E1" s="0" t="inlineStr">
        <is>
          <t xml:space="preserve">OWASP mapping</t>
        </is>
      </c>
      <c r="F1" s="0" t="inlineStr">
        <is>
          <t xml:space="preserve">Profile / fixtures</t>
        </is>
      </c>
      <c r="G1" s="0" t="inlineStr">
        <is>
          <t xml:space="preserve">Method / endpoints</t>
        </is>
      </c>
      <c r="H1" s="0" t="inlineStr">
        <is>
          <t xml:space="preserve">Expected / thresholds</t>
        </is>
      </c>
      <c r="I1" s="0" t="inlineStr">
        <is>
          <t xml:space="preserve">Assertions</t>
        </is>
      </c>
      <c r="J1" s="0" t="inlineStr">
        <is>
          <t xml:space="preserve">Cleanup / scope</t>
        </is>
      </c>
      <c r="K1" s="0" t="inlineStr">
        <is>
          <t xml:space="preserve">Node HTTP</t>
        </is>
      </c>
      <c r="L1" s="0" t="inlineStr">
        <is>
          <t xml:space="preserve">Groovy script</t>
        </is>
      </c>
      <c r="M1" s="0" t="inlineStr">
        <is>
          <t xml:space="preserve">ReadyAPI GUI</t>
        </is>
      </c>
      <c r="N1" s="0" t="inlineStr">
        <is>
          <t xml:space="preserve">Candidate defect</t>
        </is>
      </c>
      <c r="O1" s="0" t="inlineStr">
        <is>
          <t xml:space="preserve">Actual evidence</t>
        </is>
      </c>
    </row>
    <row r="2" ht="150" customHeight="1">
      <c r="A2" s="0" t="inlineStr">
        <is>
          <t xml:space="preserve">TC-NFR-PERF-01</t>
        </is>
      </c>
      <c r="B2" s="0" t="inlineStr">
        <is>
          <t xml:space="preserve">Performance</t>
        </is>
      </c>
      <c r="C2" s="0" t="inlineStr">
        <is>
          <t xml:space="preserve">Baseline /me: latency distribution</t>
        </is>
      </c>
      <c r="D2" s="0" t="inlineStr">
        <is>
          <t xml:space="preserve">LAB target proposed by test team; validate with lecturer/product owner.</t>
        </is>
      </c>
      <c r="E2" s="0" t="inlineStr">
        <is>
          <t xml:space="preserve">N/A</t>
        </is>
      </c>
      <c r="F2" s="0" t="inlineStr">
        <is>
          <t xml:space="preserve">{"routes":[{"role":"client","path":"/me"}],"warmup":5,"count":30,"concurrency":1}</t>
        </is>
      </c>
      <c r="G2" s="0" t="inlineStr">
        <is>
          <t xml:space="preserve">GET /me (client)</t>
        </is>
      </c>
      <c r="H2" s="0" t="inlineStr">
        <is>
          <t xml:space="preserve">HTTP 200 + correct payload; p95 &lt;= 500ms; max &lt;= 2000ms; errorRate = 0.</t>
        </is>
      </c>
      <c r="I2" s="0" t="inlineStr">
        <is>
          <t xml:space="preserve">Status + payload for every sample; p50/p95/p99/max/RPS/errors; recovery per phase; min samples.</t>
        </is>
      </c>
      <c r="J2" s="0" t="inlineStr">
        <is>
          <t xml:space="preserve">QA client soft delete + logout issued tokens. Only lab DB; sessions/cotisations may remain.</t>
        </is>
      </c>
      <c r="K2" s="0" t="inlineStr">
        <is>
          <t xml:space="preserve">Pass</t>
        </is>
      </c>
      <c r="L2" s="0" t="inlineStr">
        <is>
          <t xml:space="preserve">Pass</t>
        </is>
      </c>
      <c r="M2" s="0" t="inlineStr">
        <is>
          <t xml:space="preserve">Not run</t>
        </is>
      </c>
      <c r="N2" s="0" t="inlineStr">
        <is>
          <t xml:space="preserve"/>
        </is>
      </c>
      <c r="O2" s="0" t="inlineStr">
        <is>
          <t xml:space="preserve">{
  "metrics": {
    "percentileMethod": "nearest-rank",
    "phases": [
      {
        "phase": "measured",
        "concurrency": 1,
        "requests": 30,
        "errors": 0,
        "errorRate": 0,
        "p50Ms": 117.39,
        "p95Ms": 149.25,
        "p99Ms": 151.57,
        "maxMs": 151.57,
        "elapsedMs": 3767,
        "throughputRps": 7.96
      }
    ]
  },
  "observations": {},
  "error": null
}</t>
        </is>
      </c>
    </row>
    <row r="3" ht="150" customHeight="1">
      <c r="A3" s="0" t="inlineStr">
        <is>
          <t xml:space="preserve">TC-NFR-PERF-02</t>
        </is>
      </c>
      <c r="B3" s="0" t="inlineStr">
        <is>
          <t xml:space="preserve">Performance</t>
        </is>
      </c>
      <c r="C3" s="0" t="inlineStr">
        <is>
          <t xml:space="preserve">Small concurrent load: admin client list</t>
        </is>
      </c>
      <c r="D3" s="0" t="inlineStr">
        <is>
          <t xml:space="preserve">LAB target proposed by test team; validate with lecturer/product owner.</t>
        </is>
      </c>
      <c r="E3" s="0" t="inlineStr">
        <is>
          <t xml:space="preserve">N/A</t>
        </is>
      </c>
      <c r="F3" s="0" t="inlineStr">
        <is>
          <t xml:space="preserve">{"routes":[{"role":"admin","path":"/admin/clients"}],"warmup":5,"count":50,"concurrency":5}</t>
        </is>
      </c>
      <c r="G3" s="0" t="inlineStr">
        <is>
          <t xml:space="preserve">GET /admin/clients (admin)</t>
        </is>
      </c>
      <c r="H3" s="0" t="inlineStr">
        <is>
          <t xml:space="preserve">HTTP 200 + correct payload; p95 &lt;= 1000ms; max &lt;= 2000ms; errorRate = 0.</t>
        </is>
      </c>
      <c r="I3" s="0" t="inlineStr">
        <is>
          <t xml:space="preserve">Status + payload for every sample; p50/p95/p99/max/RPS/errors; recovery per phase; min samples.</t>
        </is>
      </c>
      <c r="J3" s="0" t="inlineStr">
        <is>
          <t xml:space="preserve">QA client soft delete + logout issued tokens. Only lab DB; sessions/cotisations may remain.</t>
        </is>
      </c>
      <c r="K3" s="0" t="inlineStr">
        <is>
          <t xml:space="preserve">Pass</t>
        </is>
      </c>
      <c r="L3" s="0" t="inlineStr">
        <is>
          <t xml:space="preserve">Fail</t>
        </is>
      </c>
      <c r="M3" s="0" t="inlineStr">
        <is>
          <t xml:space="preserve">Not run</t>
        </is>
      </c>
      <c r="N3" s="0" t="inlineStr">
        <is>
          <t xml:space="preserve"/>
        </is>
      </c>
      <c r="O3" s="0" t="inlineStr">
        <is>
          <t xml:space="preserve">{
  "metrics": {
    "percentileMethod": "nearest-rank",
    "phases": [
      {
        "phase": "measured",
        "concurrency": 5,
        "requests": 50,
        "errors": 0,
        "errorRate": 0,
        "p50Ms": 793.62,
        "p95Ms": 805.94,
        "p99Ms": 810.14,
        "maxMs": 810.14,
        "elapsedMs": 7943,
        "throughputRps": 6.3
      }
    ]
  },
  "observations": {},
  "error": null
}</t>
        </is>
      </c>
    </row>
    <row r="4" ht="150" customHeight="1">
      <c r="A4" s="0" t="inlineStr">
        <is>
          <t xml:space="preserve">TC-NFR-PERF-03</t>
        </is>
      </c>
      <c r="B4" s="0" t="inlineStr">
        <is>
          <t xml:space="preserve">Performance</t>
        </is>
      </c>
      <c r="C4" s="0" t="inlineStr">
        <is>
          <t xml:space="preserve">Mixed roles, read-only workload</t>
        </is>
      </c>
      <c r="D4" s="0" t="inlineStr">
        <is>
          <t xml:space="preserve">LAB target proposed by test team; validate with lecturer/product owner.</t>
        </is>
      </c>
      <c r="E4" s="0" t="inlineStr">
        <is>
          <t xml:space="preserve">N/A</t>
        </is>
      </c>
      <c r="F4" s="0" t="inlineStr">
        <is>
          <t xml:space="preserve">{"routes":[{"role":"admin","path":"/admin/clients"},{"role":"coach","path":"/coach/clients"},{"role":"client","path":"/client/paiements"}],"warmup":5,"count":60,"concurrency":3}</t>
        </is>
      </c>
      <c r="G4" s="0" t="inlineStr">
        <is>
          <t xml:space="preserve">GET /admin/clients (admin)
GET /coach/clients (coach)
GET /client/paiements (client)</t>
        </is>
      </c>
      <c r="H4" s="0" t="inlineStr">
        <is>
          <t xml:space="preserve">HTTP 200 + correct payload; p95 &lt;= 1000ms; max &lt;= 2000ms; errorRate = 0.</t>
        </is>
      </c>
      <c r="I4" s="0" t="inlineStr">
        <is>
          <t xml:space="preserve">Status + payload for every sample; p50/p95/p99/max/RPS/errors; recovery per phase; min samples.</t>
        </is>
      </c>
      <c r="J4" s="0" t="inlineStr">
        <is>
          <t xml:space="preserve">QA client soft delete + logout issued tokens. Only lab DB; sessions/cotisations may remain.</t>
        </is>
      </c>
      <c r="K4" s="0" t="inlineStr">
        <is>
          <t xml:space="preserve">Pass</t>
        </is>
      </c>
      <c r="L4" s="0" t="inlineStr">
        <is>
          <t xml:space="preserve">Pass</t>
        </is>
      </c>
      <c r="M4" s="0" t="inlineStr">
        <is>
          <t xml:space="preserve">Not run</t>
        </is>
      </c>
      <c r="N4" s="0" t="inlineStr">
        <is>
          <t xml:space="preserve"/>
        </is>
      </c>
      <c r="O4" s="0" t="inlineStr">
        <is>
          <t xml:space="preserve">{
  "metrics": {
    "percentileMethod": "nearest-rank",
    "phases": [
      {
        "phase": "measured",
        "concurrency": 3,
        "requests": 60,
        "errors": 0,
        "errorRate": 0,
        "p50Ms": 464.81,
        "p95Ms": 485.38,
        "p99Ms": 490.2,
        "maxMs": 490.2,
        "elapsedMs": 9300,
        "throughputRps": 6.45
      }
    ]
  },
  "observations": {},
  "error": null
}</t>
        </is>
      </c>
    </row>
    <row r="5" ht="150" customHeight="1">
      <c r="A5" s="0" t="inlineStr">
        <is>
          <t xml:space="preserve">TC-NFR-PERF-04</t>
        </is>
      </c>
      <c r="B5" s="0" t="inlineStr">
        <is>
          <t xml:space="preserve">Performance</t>
        </is>
      </c>
      <c r="C5" s="0" t="inlineStr">
        <is>
          <t xml:space="preserve">Payment stats aggregation at small load</t>
        </is>
      </c>
      <c r="D5" s="0" t="inlineStr">
        <is>
          <t xml:space="preserve">LAB target proposed by test team; validate with lecturer/product owner.</t>
        </is>
      </c>
      <c r="E5" s="0" t="inlineStr">
        <is>
          <t xml:space="preserve">N/A</t>
        </is>
      </c>
      <c r="F5" s="0" t="inlineStr">
        <is>
          <t xml:space="preserve">{"routes":[{"role":"admin","path":"/admin/paiements/stats"}],"warmup":5,"count":30,"concurrency":3}</t>
        </is>
      </c>
      <c r="G5" s="0" t="inlineStr">
        <is>
          <t xml:space="preserve">GET /admin/paiements/stats (admin)</t>
        </is>
      </c>
      <c r="H5" s="0" t="inlineStr">
        <is>
          <t xml:space="preserve">HTTP 200 + correct payload; p95 &lt;= 1000ms; max &lt;= 2000ms; errorRate = 0.</t>
        </is>
      </c>
      <c r="I5" s="0" t="inlineStr">
        <is>
          <t xml:space="preserve">Status + payload for every sample; p50/p95/p99/max/RPS/errors; recovery per phase; min samples.</t>
        </is>
      </c>
      <c r="J5" s="0" t="inlineStr">
        <is>
          <t xml:space="preserve">QA client soft delete + logout issued tokens. Only lab DB; sessions/cotisations may remain.</t>
        </is>
      </c>
      <c r="K5" s="0" t="inlineStr">
        <is>
          <t xml:space="preserve">Pass</t>
        </is>
      </c>
      <c r="L5" s="0" t="inlineStr">
        <is>
          <t xml:space="preserve">Pass</t>
        </is>
      </c>
      <c r="M5" s="0" t="inlineStr">
        <is>
          <t xml:space="preserve">Not run</t>
        </is>
      </c>
      <c r="N5" s="0" t="inlineStr">
        <is>
          <t xml:space="preserve"/>
        </is>
      </c>
      <c r="O5" s="0" t="inlineStr">
        <is>
          <t xml:space="preserve">{
  "metrics": {
    "percentileMethod": "nearest-rank",
    "phases": [
      {
        "phase": "measured",
        "concurrency": 3,
        "requests": 30,
        "errors": 0,
        "errorRate": 0,
        "p50Ms": 419.41,
        "p95Ms": 429.91,
        "p99Ms": 430.43,
        "maxMs": 430.43,
        "elapsedMs": 4203,
        "throughputRps": 7.14
      }
    ]
  },
  "observations": {},
  "error": null
}</t>
        </is>
      </c>
    </row>
    <row r="6" ht="150" customHeight="1">
      <c r="A6" s="0" t="inlineStr">
        <is>
          <t xml:space="preserve">TC-NFR-PERF-05</t>
        </is>
      </c>
      <c r="B6" s="0" t="inlineStr">
        <is>
          <t xml:space="preserve">Performance</t>
        </is>
      </c>
      <c r="C6" s="0" t="inlineStr">
        <is>
          <t xml:space="preserve">Bounded spike and recovery</t>
        </is>
      </c>
      <c r="D6" s="0" t="inlineStr">
        <is>
          <t xml:space="preserve">LAB target proposed by test team; validate with lecturer/product owner.</t>
        </is>
      </c>
      <c r="E6" s="0" t="inlineStr">
        <is>
          <t xml:space="preserve">N/A</t>
        </is>
      </c>
      <c r="F6" s="0" t="inlineStr">
        <is>
          <t xml:space="preserve">{"routes":[{"role":"admin","path":"/admin/clients"}],"warmup":5,"count":80,"concurrency":5,"phases":[{"name":"baseline","count":20,"concurrency":1},{"name":"spike","count":40,"concurrency":5},{"name":"recovery","count":20,"concurrency":1}]}</t>
        </is>
      </c>
      <c r="G6" s="0" t="inlineStr">
        <is>
          <t xml:space="preserve">GET /admin/clients (admin)</t>
        </is>
      </c>
      <c r="H6" s="0" t="inlineStr">
        <is>
          <t xml:space="preserve">HTTP 200 + correct payload; p95 &lt;= 1500ms; max &lt;= 2000ms; errorRate = 0. Recovery p95 &lt;= max(500ms, 3 * baseline p95).</t>
        </is>
      </c>
      <c r="I6" s="0" t="inlineStr">
        <is>
          <t xml:space="preserve">Status + payload for every sample; p50/p95/p99/max/RPS/errors; recovery per phase; min samples.</t>
        </is>
      </c>
      <c r="J6" s="0" t="inlineStr">
        <is>
          <t xml:space="preserve">QA client soft delete + logout issued tokens. Only lab DB; sessions/cotisations may remain.</t>
        </is>
      </c>
      <c r="K6" s="0" t="inlineStr">
        <is>
          <t xml:space="preserve">Pass</t>
        </is>
      </c>
      <c r="L6" s="0" t="inlineStr">
        <is>
          <t xml:space="preserve">Pass</t>
        </is>
      </c>
      <c r="M6" s="0" t="inlineStr">
        <is>
          <t xml:space="preserve">Not run</t>
        </is>
      </c>
      <c r="N6" s="0" t="inlineStr">
        <is>
          <t xml:space="preserve"/>
        </is>
      </c>
      <c r="O6" s="0" t="inlineStr">
        <is>
          <t xml:space="preserve">{
  "metrics": {
    "percentileMethod": "nearest-rank",
    "phases": [
      {
        "phase": "baseline",
        "concurrency": 1,
        "requests": 20,
        "errors": 0,
        "errorRate": 0,
        "p50Ms": 158.27,
        "p95Ms": 169.71,
        "p99Ms": 171.98,
        "maxMs": 171.98,
        "elapsedMs": 3215,
        "throughputRps": 6.22
      },
      {
        "phase": "spike",
        "concurrency": 5,
        "requests": 40,
        "errors": 0,
        "errorRate": 0,
        "p50Ms": 793.78,
        "p95Ms": 804.72,
        "p99Ms": 805.89,
        "maxMs": 805.89,
        "elapsedMs": 6366,
        "throughputRps": 6.28
      },
      {
        "phase": "recovery",
        "concurrency": 1,
        "requests": 20,
        "errors": 0,
        "errorRate": 0,
        "p50Ms": 157.48,
        "p95Ms": 166.21,
        "p99Ms": 168.13,
        "maxMs": 168.13,
        "elapsedMs": 3174,
        "throughputRps": 6.3
      }
    ],
    "recoveryLimitMs": 509.13
  },
  "observations": {},
  "error": null
}</t>
        </is>
      </c>
    </row>
    <row r="7" ht="150" customHeight="1">
      <c r="A7" s="0" t="inlineStr">
        <is>
          <t xml:space="preserve">TC-NFR-PERF-06</t>
        </is>
      </c>
      <c r="B7" s="0" t="inlineStr">
        <is>
          <t xml:space="preserve">Performance</t>
        </is>
      </c>
      <c r="C7" s="0" t="inlineStr">
        <is>
          <t xml:space="preserve">Short soak: 20 seconds, bounded requests</t>
        </is>
      </c>
      <c r="D7" s="0" t="inlineStr">
        <is>
          <t xml:space="preserve">LAB target proposed by test team; validate with lecturer/product owner.</t>
        </is>
      </c>
      <c r="E7" s="0" t="inlineStr">
        <is>
          <t xml:space="preserve">N/A</t>
        </is>
      </c>
      <c r="F7" s="0" t="inlineStr">
        <is>
          <t xml:space="preserve">{"routes":[{"role":"client","path":"/me"}],"warmup":5,"count":80,"concurrency":1,"durationMs":20000,"paceMs":250,"minimumSamples":20}</t>
        </is>
      </c>
      <c r="G7" s="0" t="inlineStr">
        <is>
          <t xml:space="preserve">GET /me (client)</t>
        </is>
      </c>
      <c r="H7" s="0" t="inlineStr">
        <is>
          <t xml:space="preserve">HTTP 200 + correct payload; p95 &lt;= 750ms; max &lt;= 2000ms; errorRate = 0.</t>
        </is>
      </c>
      <c r="I7" s="0" t="inlineStr">
        <is>
          <t xml:space="preserve">Status + payload for every sample; p50/p95/p99/max/RPS/errors; recovery per phase; min samples.</t>
        </is>
      </c>
      <c r="J7" s="0" t="inlineStr">
        <is>
          <t xml:space="preserve">QA client soft delete + logout issued tokens. Only lab DB; sessions/cotisations may remain.</t>
        </is>
      </c>
      <c r="K7" s="0" t="inlineStr">
        <is>
          <t xml:space="preserve">Pass</t>
        </is>
      </c>
      <c r="L7" s="0" t="inlineStr">
        <is>
          <t xml:space="preserve">Pass</t>
        </is>
      </c>
      <c r="M7" s="0" t="inlineStr">
        <is>
          <t xml:space="preserve">Not run</t>
        </is>
      </c>
      <c r="N7" s="0" t="inlineStr">
        <is>
          <t xml:space="preserve"/>
        </is>
      </c>
      <c r="O7" s="0" t="inlineStr">
        <is>
          <t xml:space="preserve">{
  "metrics": {
    "percentileMethod": "nearest-rank",
    "phases": [
      {
        "phase": "measured",
        "concurrency": 1,
        "requests": 79,
        "errors": 0,
        "errorRate": 0,
        "p50Ms": 142.55,
        "p95Ms": 154.16,
        "p99Ms": 158.95,
        "maxMs": 158.95,
        "elapsedMs": 20033,
        "throughputRps": 3.94
      }
    ]
  },
  "observations": {},
  "error": null
}</t>
        </is>
      </c>
    </row>
    <row r="8" ht="75" customHeight="1">
      <c r="A8" s="0" t="inlineStr">
        <is>
          <t xml:space="preserve">TC-NFR-SEC-01</t>
        </is>
      </c>
      <c r="B8" s="0" t="inlineStr">
        <is>
          <t xml:space="preserve">Security</t>
        </is>
      </c>
      <c r="C8" s="0" t="inlineStr">
        <is>
          <t xml:space="preserve">Fabricated Bearer token must be rejected</t>
        </is>
      </c>
      <c r="D8" s="0" t="inlineStr">
        <is>
          <t xml:space="preserve">Reject unauthenticated API access.</t>
        </is>
      </c>
      <c r="E8" s="0" t="inlineStr">
        <is>
          <t xml:space="preserve">OWASP API2:2023</t>
        </is>
      </c>
      <c r="F8" s="0" t="inlineStr">
        <is>
          <t xml:space="preserve">No login required.</t>
        </is>
      </c>
      <c r="G8" s="0" t="inlineStr">
        <is>
          <t xml:space="preserve">GET /me; Bearer 999999|not-a-real-token; no body.</t>
        </is>
      </c>
      <c r="H8" s="0" t="inlineStr">
        <is>
          <t xml:space="preserve">GET /me = 401; no user/profile data.</t>
        </is>
      </c>
      <c r="I8" s="0" t="inlineStr">
        <is>
          <t xml:space="preserve">Exact HTTP/access result + token/role/state/recursive JSON checks. See code action for all requests.</t>
        </is>
      </c>
      <c r="J8" s="0" t="inlineStr">
        <is>
          <t xml:space="preserve">QA client soft delete + logout issued tokens. Only lab DB; sessions/cotisations may remain.</t>
        </is>
      </c>
      <c r="K8" s="0" t="inlineStr">
        <is>
          <t xml:space="preserve">Pass</t>
        </is>
      </c>
      <c r="L8" s="0" t="inlineStr">
        <is>
          <t xml:space="preserve">Pass</t>
        </is>
      </c>
      <c r="M8" s="0" t="inlineStr">
        <is>
          <t xml:space="preserve">Not run</t>
        </is>
      </c>
      <c r="N8" s="0" t="inlineStr">
        <is>
          <t xml:space="preserve"/>
        </is>
      </c>
      <c r="O8" s="0" t="inlineStr">
        <is>
          <t xml:space="preserve">{
  "metrics": null,
  "observations": {},
  "error": null
}</t>
        </is>
      </c>
    </row>
    <row r="9" ht="75" customHeight="1">
      <c r="A9" s="0" t="inlineStr">
        <is>
          <t xml:space="preserve">TC-NFR-SEC-02</t>
        </is>
      </c>
      <c r="B9" s="0" t="inlineStr">
        <is>
          <t xml:space="preserve">Security</t>
        </is>
      </c>
      <c r="C9" s="0" t="inlineStr">
        <is>
          <t xml:space="preserve">Altered token must be rejected</t>
        </is>
      </c>
      <c r="D9" s="0" t="inlineStr">
        <is>
          <t xml:space="preserve">Token secret integrity must be enforced.</t>
        </is>
      </c>
      <c r="E9" s="0" t="inlineStr">
        <is>
          <t xml:space="preserve">OWASP API2:2023</t>
        </is>
      </c>
      <c r="F9" s="0" t="inlineStr">
        <is>
          <t xml:space="preserve">Login client seed, retain original token; modify last secret character.</t>
        </is>
      </c>
      <c r="G9" s="0" t="inlineStr">
        <is>
          <t xml:space="preserve">POST /login {email:clientEmail,password:clientPassword}; GET /me with changed token; GET /me with original token.</t>
        </is>
      </c>
      <c r="H9" s="0" t="inlineStr">
        <is>
          <t xml:space="preserve">One-character changed token -&gt; 401; original token still works.</t>
        </is>
      </c>
      <c r="I9" s="0" t="inlineStr">
        <is>
          <t xml:space="preserve">Exact HTTP/access result + token/role/state/recursive JSON checks. See code action for all requests.</t>
        </is>
      </c>
      <c r="J9" s="0" t="inlineStr">
        <is>
          <t xml:space="preserve">QA client soft delete + logout issued tokens. Only lab DB; sessions/cotisations may remain.</t>
        </is>
      </c>
      <c r="K9" s="0" t="inlineStr">
        <is>
          <t xml:space="preserve">Pass</t>
        </is>
      </c>
      <c r="L9" s="0" t="inlineStr">
        <is>
          <t xml:space="preserve">Pass</t>
        </is>
      </c>
      <c r="M9" s="0" t="inlineStr">
        <is>
          <t xml:space="preserve">Not run</t>
        </is>
      </c>
      <c r="N9" s="0" t="inlineStr">
        <is>
          <t xml:space="preserve"/>
        </is>
      </c>
      <c r="O9" s="0" t="inlineStr">
        <is>
          <t xml:space="preserve">{
  "metrics": null,
  "observations": {},
  "error": null
}</t>
        </is>
      </c>
    </row>
    <row r="10" ht="75" customHeight="1">
      <c r="A10" s="0" t="inlineStr">
        <is>
          <t xml:space="preserve">TC-NFR-SEC-03</t>
        </is>
      </c>
      <c r="B10" s="0" t="inlineStr">
        <is>
          <t xml:space="preserve">Security</t>
        </is>
      </c>
      <c r="C10" s="0" t="inlineStr">
        <is>
          <t xml:space="preserve">Revoked token cannot be replayed</t>
        </is>
      </c>
      <c r="D10" s="0" t="inlineStr">
        <is>
          <t xml:space="preserve">Logout invalidates this session token.</t>
        </is>
      </c>
      <c r="E10" s="0" t="inlineStr">
        <is>
          <t xml:space="preserve">OWASP API2:2023</t>
        </is>
      </c>
      <c r="F10" s="0" t="inlineStr">
        <is>
          <t xml:space="preserve">Issue dedicated client token; do not reuse other case tokens.</t>
        </is>
      </c>
      <c r="G10" s="0" t="inlineStr">
        <is>
          <t xml:space="preserve">POST /login {email:clientEmail,password:clientPassword}; POST /logout with new token; GET /me with same revoked token.</t>
        </is>
      </c>
      <c r="H10" s="0" t="inlineStr">
        <is>
          <t xml:space="preserve">Login 200; logout 200; reused token /me 401.</t>
        </is>
      </c>
      <c r="I10" s="0" t="inlineStr">
        <is>
          <t xml:space="preserve">Exact HTTP/access result + token/role/state/recursive JSON checks. See code action for all requests.</t>
        </is>
      </c>
      <c r="J10" s="0" t="inlineStr">
        <is>
          <t xml:space="preserve">QA client soft delete + logout issued tokens. Only lab DB; sessions/cotisations may remain.</t>
        </is>
      </c>
      <c r="K10" s="0" t="inlineStr">
        <is>
          <t xml:space="preserve">Pass</t>
        </is>
      </c>
      <c r="L10" s="0" t="inlineStr">
        <is>
          <t xml:space="preserve">Pass</t>
        </is>
      </c>
      <c r="M10" s="0" t="inlineStr">
        <is>
          <t xml:space="preserve">Not run</t>
        </is>
      </c>
      <c r="N10" s="0" t="inlineStr">
        <is>
          <t xml:space="preserve"/>
        </is>
      </c>
      <c r="O10" s="0" t="inlineStr">
        <is>
          <t xml:space="preserve">{
  "metrics": null,
  "observations": {},
  "error": null
}</t>
        </is>
      </c>
    </row>
    <row r="11" ht="75" customHeight="1">
      <c r="A11" s="0" t="inlineStr">
        <is>
          <t xml:space="preserve">TC-NFR-SEC-04</t>
        </is>
      </c>
      <c r="B11" s="0" t="inlineStr">
        <is>
          <t xml:space="preserve">Security</t>
        </is>
      </c>
      <c r="C11" s="0" t="inlineStr">
        <is>
          <t xml:space="preserve">Role matrix blocks privileged reads and writes</t>
        </is>
      </c>
      <c r="D11" s="0" t="inlineStr">
        <is>
          <t xml:space="preserve">Client/coach cannot act as admin.</t>
        </is>
      </c>
      <c r="E11" s="0" t="inlineStr">
        <is>
          <t xml:space="preserve">OWASP API5:2023</t>
        </is>
      </c>
      <c r="F11" s="0" t="inlineStr">
        <is>
          <t xml:space="preserve">Admin creates UUID QA client assigned to Karim; login admin/coach/client independently.
Admin fixture: GET coach /me -&gt; POST admin/clients {prenom:"NFR",nom:"QA",email:uniqueEmail,password:"Password123!",coach_id:ownerProfileId,montant_annuel:3600}. Tokens/IDs from this case only.</t>
        </is>
      </c>
      <c r="G11" s="0" t="inlineStr">
        <is>
          <t xml:space="preserve">GET /admin/clients as client then coach; PUT /admin/clients/{qaId} as client with {statut:"suspendu"}; GET same client as admin; require statut="actif".</t>
        </is>
      </c>
      <c r="H11" s="0" t="inlineStr">
        <is>
          <t xml:space="preserve">Client and coach admin reads 403; client PUT 403; QA client state unchanged.</t>
        </is>
      </c>
      <c r="I11" s="0" t="inlineStr">
        <is>
          <t xml:space="preserve">Exact HTTP/access result + token/role/state/recursive JSON checks. See code action for all requests.</t>
        </is>
      </c>
      <c r="J11" s="0" t="inlineStr">
        <is>
          <t xml:space="preserve">QA client soft delete + logout issued tokens. Only lab DB; sessions/cotisations may remain.</t>
        </is>
      </c>
      <c r="K11" s="0" t="inlineStr">
        <is>
          <t xml:space="preserve">Pass</t>
        </is>
      </c>
      <c r="L11" s="0" t="inlineStr">
        <is>
          <t xml:space="preserve">Pass</t>
        </is>
      </c>
      <c r="M11" s="0" t="inlineStr">
        <is>
          <t xml:space="preserve">Not run</t>
        </is>
      </c>
      <c r="N11" s="0" t="inlineStr">
        <is>
          <t xml:space="preserve"/>
        </is>
      </c>
      <c r="O11" s="0" t="inlineStr">
        <is>
          <t xml:space="preserve">{
  "metrics": null,
  "observations": {},
  "error": null
}</t>
        </is>
      </c>
    </row>
    <row r="12" ht="75" customHeight="1">
      <c r="A12" s="0" t="inlineStr">
        <is>
          <t xml:space="preserve">TC-NFR-SEC-05</t>
        </is>
      </c>
      <c r="B12" s="0" t="inlineStr">
        <is>
          <t xml:space="preserve">Security</t>
        </is>
      </c>
      <c r="C12" s="0" t="inlineStr">
        <is>
          <t xml:space="preserve">Registration role injection cannot grant admin</t>
        </is>
      </c>
      <c r="D12" s="0" t="inlineStr">
        <is>
          <t xml:space="preserve">Public registration always grants client role.</t>
        </is>
      </c>
      <c r="E12" s="0" t="inlineStr">
        <is>
          <t xml:space="preserve">OWASP API3:2023</t>
        </is>
      </c>
      <c r="F12" s="0" t="inlineStr">
        <is>
          <t xml:space="preserve">UUID email; admin token for cleanup only; register cash avoids payment mutation.</t>
        </is>
      </c>
      <c r="G12" s="0" t="inlineStr">
        <is>
          <t xml:space="preserve">POST /register {name:"NFR QA",email:uniqueEmail,password:"Password123!",password_confirmation:"Password123!",specialite:"Musculation",plan:"mensuel",payment_method:"cash",role:"admin",active:true}; GET /me with returned token; GET /admin/clients with same token.</t>
        </is>
      </c>
      <c r="H12" s="0" t="inlineStr">
        <is>
          <t xml:space="preserve">Submitted role=admin ignored/rejected; if created: /me role=client and admin access 403.</t>
        </is>
      </c>
      <c r="I12" s="0" t="inlineStr">
        <is>
          <t xml:space="preserve">Exact HTTP/access result + token/role/state/recursive JSON checks. See code action for all requests.</t>
        </is>
      </c>
      <c r="J12" s="0" t="inlineStr">
        <is>
          <t xml:space="preserve">QA client soft delete + logout issued tokens. Only lab DB; sessions/cotisations may remain.</t>
        </is>
      </c>
      <c r="K12" s="0" t="inlineStr">
        <is>
          <t xml:space="preserve">Pass</t>
        </is>
      </c>
      <c r="L12" s="0" t="inlineStr">
        <is>
          <t xml:space="preserve">Pass</t>
        </is>
      </c>
      <c r="M12" s="0" t="inlineStr">
        <is>
          <t xml:space="preserve">Not run</t>
        </is>
      </c>
      <c r="N12" s="0" t="inlineStr">
        <is>
          <t xml:space="preserve"/>
        </is>
      </c>
      <c r="O12" s="0" t="inlineStr">
        <is>
          <t xml:space="preserve">{
  "metrics": null,
  "observations": {},
  "error": null
}</t>
        </is>
      </c>
    </row>
    <row r="13" ht="75" customHeight="1">
      <c r="A13" s="0" t="inlineStr">
        <is>
          <t xml:space="preserve">TC-NFR-SEC-06</t>
        </is>
      </c>
      <c r="B13" s="0" t="inlineStr">
        <is>
          <t xml:space="preserve">Security</t>
        </is>
      </c>
      <c r="C13" s="0" t="inlineStr">
        <is>
          <t xml:space="preserve">Coach cannot read another coach client assessment</t>
        </is>
      </c>
      <c r="D13" s="0" t="inlineStr">
        <is>
          <t xml:space="preserve">Assessments accessible only to assigned coach.</t>
        </is>
      </c>
      <c r="E13" s="0" t="inlineStr">
        <is>
          <t xml:space="preserve">OWASP API1:2023</t>
        </is>
      </c>
      <c r="F13" s="0" t="inlineStr">
        <is>
          <t xml:space="preserve">Admin creates UUID QA client assigned to Sara (otherCoach); login Sara and Karim separately.
Admin fixture: GET coach /me -&gt; POST admin/clients {prenom:"NFR",nom:"QA",email:uniqueEmail,password:"Password123!",coach_id:ownerProfileId,montant_annuel:3600}. Tokens/IDs from this case only.</t>
        </is>
      </c>
      <c r="G13" s="0" t="inlineStr">
        <is>
          <t xml:space="preserve">GET /coach/clients/{qaId}/bilans as Sara (owner control200), then same URL as Karim (403/404).</t>
        </is>
      </c>
      <c r="H13" s="0" t="inlineStr">
        <is>
          <t xml:space="preserve">Owner read 200; other coach read 403 or 404; no assessment data.</t>
        </is>
      </c>
      <c r="I13" s="0" t="inlineStr">
        <is>
          <t xml:space="preserve">Exact HTTP/access result + token/role/state/recursive JSON checks. See code action for all requests.</t>
        </is>
      </c>
      <c r="J13" s="0" t="inlineStr">
        <is>
          <t xml:space="preserve">QA client soft delete + logout issued tokens. Only lab DB; sessions/cotisations may remain.</t>
        </is>
      </c>
      <c r="K13" s="0" t="inlineStr">
        <is>
          <t xml:space="preserve">Pass</t>
        </is>
      </c>
      <c r="L13" s="0" t="inlineStr">
        <is>
          <t xml:space="preserve">Pass</t>
        </is>
      </c>
      <c r="M13" s="0" t="inlineStr">
        <is>
          <t xml:space="preserve">Not run</t>
        </is>
      </c>
      <c r="N13" s="0" t="inlineStr">
        <is>
          <t xml:space="preserve"/>
        </is>
      </c>
      <c r="O13" s="0" t="inlineStr">
        <is>
          <t xml:space="preserve">{
  "metrics": null,
  "observations": {},
  "error": null
}</t>
        </is>
      </c>
    </row>
    <row r="14" ht="120" customHeight="1">
      <c r="A14" s="0" t="inlineStr">
        <is>
          <t xml:space="preserve">TC-NFR-SEC-07</t>
        </is>
      </c>
      <c r="B14" s="0" t="inlineStr">
        <is>
          <t xml:space="preserve">Security</t>
        </is>
      </c>
      <c r="C14" s="0" t="inlineStr">
        <is>
          <t xml:space="preserve">Coach cannot mark another coach session completed</t>
        </is>
      </c>
      <c r="D14" s="0" t="inlineStr">
        <is>
          <t xml:space="preserve">Session write must verify planning.coach_id.</t>
        </is>
      </c>
      <c r="E14" s="0" t="inlineStr">
        <is>
          <t xml:space="preserve">OWASP API1:2023</t>
        </is>
      </c>
      <c r="F14" s="0" t="inlineStr">
        <is>
          <t xml:space="preserve">Login Sara/Karim; read current-month planning as Sara; reuse an existing seeded planning/client. Create new QA session, never a seed session.</t>
        </is>
      </c>
      <c r="G14" s="0" t="inlineStr">
        <is>
          <t xml:space="preserve">GET /coach/planning?mois={UTCmonth}&amp;annee={UTCyear} as Sara; POST /coach/planning/seances as Sara {client_id:ownerPlanning.client_id,date:UTCtoday,heure_debut:"10:00",heure_fin:"11:00",lieu:"NFR QA",notes:uniqueEmail}; GET planning before; POST /coach/seances/{newSessionId}/realiser as Karim {present:true,effort_percu:5,remarques_coach:"NFR unauthorized probe"}; GET planning as Sara after; compare seance_realisee.</t>
        </is>
      </c>
      <c r="H14" s="0" t="inlineStr">
        <is>
          <t xml:space="preserve">Reuse owner seed planning; create new QA session 201; foreign coach POST 403/404; seanceRealisee remains null.</t>
        </is>
      </c>
      <c r="I14" s="0" t="inlineStr">
        <is>
          <t xml:space="preserve">Exact HTTP/access result + token/role/state/recursive JSON checks. See code action for all requests.</t>
        </is>
      </c>
      <c r="J14" s="0" t="inlineStr">
        <is>
          <t xml:space="preserve">QA client soft delete + logout issued tokens. Only lab DB; sessions/cotisations may remain.</t>
        </is>
      </c>
      <c r="K14" s="0" t="inlineStr">
        <is>
          <t xml:space="preserve">Fail</t>
        </is>
      </c>
      <c r="L14" s="0" t="inlineStr">
        <is>
          <t xml:space="preserve">Fail</t>
        </is>
      </c>
      <c r="M14" s="0" t="inlineStr">
        <is>
          <t xml:space="preserve">Not run</t>
        </is>
      </c>
      <c r="N14" s="0" t="inlineStr">
        <is>
          <t xml:space="preserve">NFR-BUG-001</t>
        </is>
      </c>
      <c r="O14" s="0" t="inlineStr">
        <is>
          <t xml:space="preserve">{
  "metrics": null,
  "observations": {
    "attemptedStatus": 200,
    "foreignWritePersisted": true
  },
  "error": "BOLA: foreign coach write accepted or persisted; HTTP=200, persisted=true"
}</t>
        </is>
      </c>
    </row>
    <row r="15" ht="75" customHeight="1">
      <c r="A15" s="0" t="inlineStr">
        <is>
          <t xml:space="preserve">TC-NFR-SEC-08</t>
        </is>
      </c>
      <c r="B15" s="0" t="inlineStr">
        <is>
          <t xml:space="preserve">Security</t>
        </is>
      </c>
      <c r="C15" s="0" t="inlineStr">
        <is>
          <t xml:space="preserve">No password/hash/remember_token disclosure in JSON</t>
        </is>
      </c>
      <c r="D15" s="0" t="inlineStr">
        <is>
          <t xml:space="preserve">Responses must exclude authentication secrets at any nesting level.</t>
        </is>
      </c>
      <c r="E15" s="0" t="inlineStr">
        <is>
          <t xml:space="preserve">OWASP API3:2023</t>
        </is>
      </c>
      <c r="F15" s="0" t="inlineStr">
        <is>
          <t xml:space="preserve">Admin creates UUID QA client; retain admin token for all three reads.
Admin fixture: GET coach /me -&gt; POST admin/clients {prenom:"NFR",nom:"QA",email:uniqueEmail,password:"Password123!",coach_id:ownerProfileId,montant_annuel:3600}. Tokens/IDs from this case only.</t>
        </is>
      </c>
      <c r="G15" s="0" t="inlineStr">
        <is>
          <t xml:space="preserve">GET /me; GET /admin/clients; GET /admin/clients/{qaId}; recursively inspect JSON field names, no raw response persisted.</t>
        </is>
      </c>
      <c r="H15" s="0" t="inlineStr">
        <is>
          <t xml:space="preserve">Recursive key check on /me, admin list and QA detail; no password, password_hash, remember_token, access_token or token.</t>
        </is>
      </c>
      <c r="I15" s="0" t="inlineStr">
        <is>
          <t xml:space="preserve">Exact HTTP/access result + token/role/state/recursive JSON checks. See code action for all requests.</t>
        </is>
      </c>
      <c r="J15" s="0" t="inlineStr">
        <is>
          <t xml:space="preserve">QA client soft delete + logout issued tokens. Only lab DB; sessions/cotisations may remain.</t>
        </is>
      </c>
      <c r="K15" s="0" t="inlineStr">
        <is>
          <t xml:space="preserve">Pass</t>
        </is>
      </c>
      <c r="L15" s="0" t="inlineStr">
        <is>
          <t xml:space="preserve">Pass</t>
        </is>
      </c>
      <c r="M15" s="0" t="inlineStr">
        <is>
          <t xml:space="preserve">Not run</t>
        </is>
      </c>
      <c r="N15" s="0" t="inlineStr">
        <is>
          <t xml:space="preserve"/>
        </is>
      </c>
      <c r="O15" s="0" t="inlineStr">
        <is>
          <t xml:space="preserve">{
  "metrics": null,
  "observations": {},
  "error": null
}</t>
        </is>
      </c>
    </row>
    <row r="16" ht="75" customHeight="1">
      <c r="A16" s="0" t="inlineStr">
        <is>
          <t xml:space="preserve">TC-NFR-SEC-09</t>
        </is>
      </c>
      <c r="B16" s="0" t="inlineStr">
        <is>
          <t xml:space="preserve">Security</t>
        </is>
      </c>
      <c r="C16" s="0" t="inlineStr">
        <is>
          <t xml:space="preserve">Errors do not expose SQL, stack or source paths</t>
        </is>
      </c>
      <c r="D16" s="0" t="inlineStr">
        <is>
          <t xml:space="preserve">Debug details must be suppressed (APP_DEBUG=false).</t>
        </is>
      </c>
      <c r="E16" s="0" t="inlineStr">
        <is>
          <t xml:space="preserve">OWASP API8:2023</t>
        </is>
      </c>
      <c r="F16" s="0" t="inlineStr">
        <is>
          <t xml:space="preserve">APP_DEBUG=false, admin token only for protected missing-client URL.</t>
        </is>
      </c>
      <c r="G16" s="0" t="inlineStr">
        <is>
          <t xml:space="preserve">POST /login {}; GET /admin/clients/2147483647 as admin; GET /nfr-route-not-found without token. Expected422/404/404.</t>
        </is>
      </c>
      <c r="H16" s="0" t="inlineStr">
        <is>
          <t xml:space="preserve">Invalid login 422, missing client 404 and unknown API 404; JSON with no trace/exception/file/SQLSTATE.</t>
        </is>
      </c>
      <c r="I16" s="0" t="inlineStr">
        <is>
          <t xml:space="preserve">Exact HTTP/access result + token/role/state/recursive JSON checks. See code action for all requests.</t>
        </is>
      </c>
      <c r="J16" s="0" t="inlineStr">
        <is>
          <t xml:space="preserve">QA client soft delete + logout issued tokens. Only lab DB; sessions/cotisations may remain.</t>
        </is>
      </c>
      <c r="K16" s="0" t="inlineStr">
        <is>
          <t xml:space="preserve">Pass</t>
        </is>
      </c>
      <c r="L16" s="0" t="inlineStr">
        <is>
          <t xml:space="preserve">Pass</t>
        </is>
      </c>
      <c r="M16" s="0" t="inlineStr">
        <is>
          <t xml:space="preserve">Not run</t>
        </is>
      </c>
      <c r="N16" s="0" t="inlineStr">
        <is>
          <t xml:space="preserve"/>
        </is>
      </c>
      <c r="O16" s="0" t="inlineStr">
        <is>
          <t xml:space="preserve">{
  "metrics": null,
  "observations": {},
  "error": null
}</t>
        </is>
      </c>
    </row>
    <row r="17" ht="150" customHeight="1">
      <c r="A17" s="0" t="inlineStr">
        <is>
          <t xml:space="preserve">TC-NFR-SEC-10</t>
        </is>
      </c>
      <c r="B17" s="0" t="inlineStr">
        <is>
          <t xml:space="preserve">Security</t>
        </is>
      </c>
      <c r="C17" s="0" t="inlineStr">
        <is>
          <t xml:space="preserve">Login does not reveal email existence</t>
        </is>
      </c>
      <c r="D17" s="0" t="inlineStr">
        <is>
          <t xml:space="preserve">PROPOSED: invalid credentials should have indistinguishable public status/message.</t>
        </is>
      </c>
      <c r="E17" s="0" t="inlineStr">
        <is>
          <t xml:space="preserve">OWASP API2:2023</t>
        </is>
      </c>
      <c r="F17" s="0" t="inlineStr">
        <is>
          <t xml:space="preserve">Admin creates UUID QA client; wrong-password only once, never seed account.
Admin fixture: GET coach /me -&gt; POST admin/clients {prenom:"NFR",nom:"QA",email:uniqueEmail,password:"Password123!",coach_id:ownerProfileId,montant_annuel:3600}. Tokens/IDs from this case only.</t>
        </is>
      </c>
      <c r="G17" s="0" t="inlineStr">
        <is>
          <t xml:space="preserve">POST /login {email:"absent-"+uniqueEmail,password:"Wrong123!"}; POST /login {email:uniqueEmail,password:"Wrong123!"}; compare public status/message.</t>
        </is>
      </c>
      <c r="H17" s="0" t="inlineStr">
        <is>
          <t xml:space="preserve">Unknown email and wrong password on QA account both 401 with identical message; this is not a timing side-channel test.</t>
        </is>
      </c>
      <c r="I17" s="0" t="inlineStr">
        <is>
          <t xml:space="preserve">Exact HTTP/access result + token/role/state/recursive JSON checks. See code action for all requests.</t>
        </is>
      </c>
      <c r="J17" s="0" t="inlineStr">
        <is>
          <t xml:space="preserve">QA client soft delete + logout issued tokens. Only lab DB; sessions/cotisations may remain.</t>
        </is>
      </c>
      <c r="K17" s="0" t="inlineStr">
        <is>
          <t xml:space="preserve">Fail</t>
        </is>
      </c>
      <c r="L17" s="0" t="inlineStr">
        <is>
          <t xml:space="preserve">Fail</t>
        </is>
      </c>
      <c r="M17" s="0" t="inlineStr">
        <is>
          <t xml:space="preserve">Not run</t>
        </is>
      </c>
      <c r="N17" s="0" t="inlineStr">
        <is>
          <t xml:space="preserve">NFR-BUG-002</t>
        </is>
      </c>
      <c r="O17" s="0" t="inlineStr">
        <is>
          <t xml:space="preserve">{
  "metrics": null,
  "observations": {
    "unknownStatus": 401,
    "knownStatus": 401,
    "unknownMessage": "Incorrect email or password.",
    "knownMessage": "Incorrect password. 4 attempt(s) remaining."
  },
  "error": "PROPOSED policy: account enumeration via different error messages\n+ actual - expected\n\n+ 'Incorrect email or password.'\n- 'Incorrect password. 4 attempt(s) remaining.'\n             ^\n"
}</t>
        </is>
      </c>
    </row>
    <row r="18" ht="135" customHeight="1">
      <c r="A18" s="0" t="inlineStr">
        <is>
          <t xml:space="preserve">TC-NFR-SEC-11</t>
        </is>
      </c>
      <c r="B18" s="0" t="inlineStr">
        <is>
          <t xml:space="preserve">Security</t>
        </is>
      </c>
      <c r="C18" s="0" t="inlineStr">
        <is>
          <t xml:space="preserve">Bounded login burst is throttled</t>
        </is>
      </c>
      <c r="D18" s="0" t="inlineStr">
        <is>
          <t xml:space="preserve">PROPOSED LAB policy: &lt;=20 failed login attempts/minute/source; 429 by request 25.</t>
        </is>
      </c>
      <c r="E18" s="0" t="inlineStr">
        <is>
          <t xml:space="preserve">OWASP API4:2023</t>
        </is>
      </c>
      <c r="F18" s="0" t="inlineStr">
        <is>
          <t xml:space="preserve">Unique nonexistent QA email. No seeded-account login; max25 sequential requests, stop on first429.</t>
        </is>
      </c>
      <c r="G18" s="0" t="inlineStr">
        <is>
          <t xml:space="preserve">Repeat POST /login {email:uniqueEmail,password:"Wrong123!"}; expect429 by request25 and positive Retry-After.</t>
        </is>
      </c>
      <c r="H18" s="0" t="inlineStr">
        <is>
          <t xml:space="preserve">At most 25 sequential attempts with nonexistent unique email; at least one 429 and positive Retry-After. No real user lockout.</t>
        </is>
      </c>
      <c r="I18" s="0" t="inlineStr">
        <is>
          <t xml:space="preserve">Exact HTTP/access result + token/role/state/recursive JSON checks. See code action for all requests.</t>
        </is>
      </c>
      <c r="J18" s="0" t="inlineStr">
        <is>
          <t xml:space="preserve">QA client soft delete + logout issued tokens. Only lab DB; sessions/cotisations may remain.</t>
        </is>
      </c>
      <c r="K18" s="0" t="inlineStr">
        <is>
          <t xml:space="preserve">Fail</t>
        </is>
      </c>
      <c r="L18" s="0" t="inlineStr">
        <is>
          <t xml:space="preserve">Fail</t>
        </is>
      </c>
      <c r="M18" s="0" t="inlineStr">
        <is>
          <t xml:space="preserve">Not run</t>
        </is>
      </c>
      <c r="N18" s="0" t="inlineStr">
        <is>
          <t xml:space="preserve">NFR-BUG-003</t>
        </is>
      </c>
      <c r="O18" s="0" t="inlineStr">
        <is>
          <t xml:space="preserve">{
  "metrics": null,
  "observations": {
    "attempts": 25,
    "throttled": false,
    "retryAfter": null
  },
  "error": "PROPOSED lab anti-abuse policy: no 429 in bounded 25-request login burst"
}</t>
        </is>
      </c>
    </row>
  </sheetData>
  <autoFilter ref="A1:O18"/>
  <dataValidations count="3">
    <dataValidation type="list" allowBlank="1" showErrorMessage="1" sqref="K2:K18">
      <formula1>"Not run,Pass,Fail,Blocked"</formula1>
    </dataValidation>
    <dataValidation type="list" allowBlank="1" showErrorMessage="1" sqref="L2:L18">
      <formula1>"Not run,Pass,Fail,Blocked"</formula1>
    </dataValidation>
    <dataValidation type="list" allowBlank="1" showErrorMessage="1" sqref="M2:M18">
      <formula1>"Not run,Pass,Fail,Blocked"</formula1>
    </dataValidation>
  </dataValidations>
  <pageMargins left="0.3" right="0.3" top="0.5" bottom="0.5" header="0.3" footer="0.3"/>
  <pageSetup orientation="landscape" paperSize="9"/>
</worksheet>
</file>

<file path=xl/worksheets/sheet8.xml><?xml version="1.0" encoding="utf-8"?>
<worksheet xmlns="http://schemas.openxmlformats.org/spreadsheetml/2006/main">
  <dimension ref="A1:H18"/>
  <sheetViews>
    <sheetView workbookViewId="0">
      <pane ySplit="1" topLeftCell="A2" activePane="bottomLeft" state="frozen"/>
    </sheetView>
  </sheetViews>
  <sheetFormatPr defaultRowHeight="30"/>
  <cols>
    <col min="1" max="1" width="27" customWidth="1"/>
    <col min="2" max="2" width="16" customWidth="1"/>
    <col min="3" max="3" width="16" customWidth="1"/>
    <col min="4" max="4" width="18" customWidth="1"/>
    <col min="5" max="5" width="90" customWidth="1"/>
    <col min="6" max="6" width="100" customWidth="1"/>
    <col min="7" max="7" width="65" customWidth="1"/>
    <col min="8" max="8" width="100" customWidth="1"/>
  </cols>
  <sheetData>
    <row r="1" ht="32" customHeight="1">
      <c r="A1" s="0" t="inlineStr">
        <is>
          <t xml:space="preserve">TC ID</t>
        </is>
      </c>
      <c r="B1" s="0" t="inlineStr">
        <is>
          <t xml:space="preserve">Node HTTP</t>
        </is>
      </c>
      <c r="C1" s="0" t="inlineStr">
        <is>
          <t xml:space="preserve">Groovy script</t>
        </is>
      </c>
      <c r="D1" s="0" t="inlineStr">
        <is>
          <t xml:space="preserve">ReadyAPI GUI</t>
        </is>
      </c>
      <c r="E1" s="0" t="inlineStr">
        <is>
          <t xml:space="preserve">Node metrics / observations</t>
        </is>
      </c>
      <c r="F1" s="0" t="inlineStr">
        <is>
          <t xml:space="preserve">Groovy metrics / observations</t>
        </is>
      </c>
      <c r="G1" s="0" t="inlineStr">
        <is>
          <t xml:space="preserve">Run timestamps</t>
        </is>
      </c>
      <c r="H1" s="0" t="inlineStr">
        <is>
          <t xml:space="preserve">Actual error</t>
        </is>
      </c>
    </row>
    <row r="2" ht="150" customHeight="1">
      <c r="A2" s="0" t="inlineStr">
        <is>
          <t xml:space="preserve">TC-NFR-PERF-01</t>
        </is>
      </c>
      <c r="B2" s="0" t="inlineStr">
        <is>
          <t xml:space="preserve">Pass</t>
        </is>
      </c>
      <c r="C2" s="0" t="inlineStr">
        <is>
          <t xml:space="preserve">Pass</t>
        </is>
      </c>
      <c r="D2" s="0" t="inlineStr">
        <is>
          <t xml:space="preserve">Not run</t>
        </is>
      </c>
      <c r="E2" s="0" t="inlineStr">
        <is>
          <t xml:space="preserve">{
  "percentileMethod": "nearest-rank",
  "phases": [
    {
      "phase": "measured",
      "concurrency": 1,
      "requests": 30,
      "errors": 0,
      "errorRate": 0,
      "p50Ms": 117.39,
      "p95Ms": 149.25,
      "p99Ms": 151.57,
      "maxMs": 151.57,
      "elapsedMs": 3767,
      "throughputRps": 7.96
    }
  ]
}</t>
        </is>
      </c>
      <c r="F2" s="0" t="inlineStr">
        <is>
          <t xml:space="preserve">{
  "percentileMethod": "nearest-rank",
  "phases": [
    {
      "phase": "measured",
      "concurrency": 1,
      "requests": 30,
      "errors": 0,
      "errorRate": 0,
      "p50Ms": 121.66,
      "p95Ms": 199.39,
      "p99Ms": 222.24,
      "maxMs": 222.24,
      "elapsedMs": 4045,
      "throughputRps": 7.42
    }
  ]
}</t>
        </is>
      </c>
      <c r="G2" s="0" t="inlineStr">
        <is>
          <t xml:space="preserve">2026-10-05T07:38:22.125Z
2026-10-05T07:44:17.498Z</t>
        </is>
      </c>
      <c r="H2" s="0" t="inlineStr">
        <is>
          <t xml:space="preserve"/>
        </is>
      </c>
    </row>
    <row r="3" ht="150" customHeight="1">
      <c r="A3" s="0" t="inlineStr">
        <is>
          <t xml:space="preserve">TC-NFR-PERF-02</t>
        </is>
      </c>
      <c r="B3" s="0" t="inlineStr">
        <is>
          <t xml:space="preserve">Pass</t>
        </is>
      </c>
      <c r="C3" s="0" t="inlineStr">
        <is>
          <t xml:space="preserve">Fail</t>
        </is>
      </c>
      <c r="D3" s="0" t="inlineStr">
        <is>
          <t xml:space="preserve">Not run</t>
        </is>
      </c>
      <c r="E3" s="0" t="inlineStr">
        <is>
          <t xml:space="preserve">{
  "percentileMethod": "nearest-rank",
  "phases": [
    {
      "phase": "measured",
      "concurrency": 5,
      "requests": 50,
      "errors": 0,
      "errorRate": 0,
      "p50Ms": 793.62,
      "p95Ms": 805.94,
      "p99Ms": 810.14,
      "maxMs": 810.14,
      "elapsedMs": 7943,
      "throughputRps": 6.3
    }
  ]
}</t>
        </is>
      </c>
      <c r="F3" s="0" t="inlineStr">
        <is>
          <t xml:space="preserve">{
  "percentileMethod": "nearest-rank",
  "phases": [
    {
      "phase": "measured",
      "concurrency": 5,
      "requests": 50,
      "errors": 0,
      "errorRate": 0,
      "p50Ms": 949.04,
      "p95Ms": 1049.27,
      "p99Ms": 1071.79,
      "maxMs": 1071.79,
      "elapsedMs": 9624,
      "throughputRps": 5.2
    }
  ]
}</t>
        </is>
      </c>
      <c r="G3" s="0" t="inlineStr">
        <is>
          <t xml:space="preserve">2026-10-05T07:38:22.125Z
2026-10-05T07:44:17.498Z</t>
        </is>
      </c>
      <c r="H3" s="0" t="inlineStr">
        <is>
          <t xml:space="preserve">p95 exceeds proposed lab target. Expression: (p.p95Ms &lt;= scenario.p95Ms)</t>
        </is>
      </c>
    </row>
    <row r="4" ht="150" customHeight="1">
      <c r="A4" s="0" t="inlineStr">
        <is>
          <t xml:space="preserve">TC-NFR-PERF-03</t>
        </is>
      </c>
      <c r="B4" s="0" t="inlineStr">
        <is>
          <t xml:space="preserve">Pass</t>
        </is>
      </c>
      <c r="C4" s="0" t="inlineStr">
        <is>
          <t xml:space="preserve">Pass</t>
        </is>
      </c>
      <c r="D4" s="0" t="inlineStr">
        <is>
          <t xml:space="preserve">Not run</t>
        </is>
      </c>
      <c r="E4" s="0" t="inlineStr">
        <is>
          <t xml:space="preserve">{
  "percentileMethod": "nearest-rank",
  "phases": [
    {
      "phase": "measured",
      "concurrency": 3,
      "requests": 60,
      "errors": 0,
      "errorRate": 0,
      "p50Ms": 464.81,
      "p95Ms": 485.38,
      "p99Ms": 490.2,
      "maxMs": 490.2,
      "elapsedMs": 9300,
      "throughputRps": 6.45
    }
  ]
}</t>
        </is>
      </c>
      <c r="F4" s="0" t="inlineStr">
        <is>
          <t xml:space="preserve">{
  "percentileMethod": "nearest-rank",
  "phases": [
    {
      "phase": "measured",
      "concurrency": 3,
      "requests": 60,
      "errors": 0,
      "errorRate": 0,
      "p50Ms": 571,
      "p95Ms": 616.68,
      "p99Ms": 696.09,
      "maxMs": 696.09,
      "elapsedMs": 11439,
      "throughputRps": 5.24
    }
  ]
}</t>
        </is>
      </c>
      <c r="G4" s="0" t="inlineStr">
        <is>
          <t xml:space="preserve">2026-10-05T07:38:22.125Z
2026-10-05T07:44:17.498Z</t>
        </is>
      </c>
      <c r="H4" s="0" t="inlineStr">
        <is>
          <t xml:space="preserve"/>
        </is>
      </c>
    </row>
    <row r="5" ht="150" customHeight="1">
      <c r="A5" s="0" t="inlineStr">
        <is>
          <t xml:space="preserve">TC-NFR-PERF-04</t>
        </is>
      </c>
      <c r="B5" s="0" t="inlineStr">
        <is>
          <t xml:space="preserve">Pass</t>
        </is>
      </c>
      <c r="C5" s="0" t="inlineStr">
        <is>
          <t xml:space="preserve">Pass</t>
        </is>
      </c>
      <c r="D5" s="0" t="inlineStr">
        <is>
          <t xml:space="preserve">Not run</t>
        </is>
      </c>
      <c r="E5" s="0" t="inlineStr">
        <is>
          <t xml:space="preserve">{
  "percentileMethod": "nearest-rank",
  "phases": [
    {
      "phase": "measured",
      "concurrency": 3,
      "requests": 30,
      "errors": 0,
      "errorRate": 0,
      "p50Ms": 419.41,
      "p95Ms": 429.91,
      "p99Ms": 430.43,
      "maxMs": 430.43,
      "elapsedMs": 4203,
      "throughputRps": 7.14
    }
  ]
}</t>
        </is>
      </c>
      <c r="F5" s="0" t="inlineStr">
        <is>
          <t xml:space="preserve">{
  "percentileMethod": "nearest-rank",
  "phases": [
    {
      "phase": "measured",
      "concurrency": 3,
      "requests": 30,
      "errors": 0,
      "errorRate": 0,
      "p50Ms": 527.83,
      "p95Ms": 602.84,
      "p99Ms": 631.85,
      "maxMs": 631.85,
      "elapsedMs": 5363,
      "throughputRps": 5.59
    }
  ]
}</t>
        </is>
      </c>
      <c r="G5" s="0" t="inlineStr">
        <is>
          <t xml:space="preserve">2026-10-05T07:38:22.125Z
2026-10-05T07:44:17.498Z</t>
        </is>
      </c>
      <c r="H5" s="0" t="inlineStr">
        <is>
          <t xml:space="preserve"/>
        </is>
      </c>
    </row>
    <row r="6" ht="150" customHeight="1">
      <c r="A6" s="0" t="inlineStr">
        <is>
          <t xml:space="preserve">TC-NFR-PERF-05</t>
        </is>
      </c>
      <c r="B6" s="0" t="inlineStr">
        <is>
          <t xml:space="preserve">Pass</t>
        </is>
      </c>
      <c r="C6" s="0" t="inlineStr">
        <is>
          <t xml:space="preserve">Pass</t>
        </is>
      </c>
      <c r="D6" s="0" t="inlineStr">
        <is>
          <t xml:space="preserve">Not run</t>
        </is>
      </c>
      <c r="E6" s="0" t="inlineStr">
        <is>
          <t xml:space="preserve">{
  "percentileMethod": "nearest-rank",
  "phases": [
    {
      "phase": "baseline",
      "concurrency": 1,
      "requests": 20,
      "errors": 0,
      "errorRate": 0,
      "p50Ms": 158.27,
      "p95Ms": 169.71,
      "p99Ms": 171.98,
      "maxMs": 171.98,
      "elapsedMs": 3215,
      "throughputRps": 6.22
    },
    {
      "phase": "spike",
      "concurrency": 5,
      "requests": 40,
      "errors": 0,
      "errorRate": 0,
      "p50Ms": 793.78,
      "p95Ms": 804.72,
      "p99Ms": 805.89,
      "maxMs": 805.89,
      "elapsedMs": 6366,
      "throughputRps": 6.28
    },
    {
      "phase": "recovery",
      "concurrency": 1,
      "requests": 20,
      "errors": 0,
      "errorRate": 0,
      "p50Ms": 157.48,
      "p95Ms": 166.21,
      "p99Ms": 168.13,
      "maxMs": 168.13,
      "elapsedMs": 3174,
      "throughputRps": 6.3
    }
  ],
  "recoveryLimitMs": 509.13
}</t>
        </is>
      </c>
      <c r="F6" s="0" t="inlineStr">
        <is>
          <t xml:space="preserve">{
  "percentileMethod": "nearest-rank",
  "phases": [
    {
      "phase": "baseline",
      "concurrency": 1,
      "requests": 20,
      "errors": 0,
      "errorRate": 0,
      "p50Ms": 177.79,
      "p95Ms": 207.66,
      "p99Ms": 248.21,
      "maxMs": 248.21,
      "elapsedMs": 3697,
      "throughputRps": 5.41
    },
    {
      "phase": "spike",
      "concurrency": 5,
      "requests": 40,
      "errors": 0,
      "errorRate": 0,
      "p50Ms": 956.74,
      "p95Ms": 1011.43,
      "p99Ms": 1022.67,
      "maxMs": 1022.67,
      "elapsedMs": 7697,
      "throughputRps": 5.2
    },
    {
      "phase": "recovery",
      "concurrency": 1,
      "requests": 20,
      "errors": 0,
      "errorRate": 0,
      "p50Ms": 191.65,
      "p95Ms": 223.9,
      "p99Ms": 226.32,
      "maxMs": 226.32,
      "elapsedMs": 3843,
      "throughputRps": 5.2
    }
  ],
  "recoveryLimitMs": 622.98
}</t>
        </is>
      </c>
      <c r="G6" s="0" t="inlineStr">
        <is>
          <t xml:space="preserve">2026-10-05T07:38:22.125Z
2026-10-05T07:44:17.498Z</t>
        </is>
      </c>
      <c r="H6" s="0" t="inlineStr">
        <is>
          <t xml:space="preserve"/>
        </is>
      </c>
    </row>
    <row r="7" ht="150" customHeight="1">
      <c r="A7" s="0" t="inlineStr">
        <is>
          <t xml:space="preserve">TC-NFR-PERF-06</t>
        </is>
      </c>
      <c r="B7" s="0" t="inlineStr">
        <is>
          <t xml:space="preserve">Pass</t>
        </is>
      </c>
      <c r="C7" s="0" t="inlineStr">
        <is>
          <t xml:space="preserve">Pass</t>
        </is>
      </c>
      <c r="D7" s="0" t="inlineStr">
        <is>
          <t xml:space="preserve">Not run</t>
        </is>
      </c>
      <c r="E7" s="0" t="inlineStr">
        <is>
          <t xml:space="preserve">{
  "percentileMethod": "nearest-rank",
  "phases": [
    {
      "phase": "measured",
      "concurrency": 1,
      "requests": 79,
      "errors": 0,
      "errorRate": 0,
      "p50Ms": 142.55,
      "p95Ms": 154.16,
      "p99Ms": 158.95,
      "maxMs": 158.95,
      "elapsedMs": 20033,
      "throughputRps": 3.94
    }
  ]
}</t>
        </is>
      </c>
      <c r="F7" s="0" t="inlineStr">
        <is>
          <t xml:space="preserve">{
  "percentileMethod": "nearest-rank",
  "phases": [
    {
      "phase": "measured",
      "concurrency": 1,
      "requests": 79,
      "errors": 0,
      "errorRate": 0,
      "p50Ms": 179.56,
      "p95Ms": 206.99,
      "p99Ms": 215.32,
      "maxMs": 215.32,
      "elapsedMs": 20136,
      "throughputRps": 3.92
    }
  ]
}</t>
        </is>
      </c>
      <c r="G7" s="0" t="inlineStr">
        <is>
          <t xml:space="preserve">2026-10-05T07:38:22.125Z
2026-10-05T07:44:17.498Z</t>
        </is>
      </c>
      <c r="H7" s="0" t="inlineStr">
        <is>
          <t xml:space="preserve"/>
        </is>
      </c>
    </row>
    <row r="8" ht="32" customHeight="1">
      <c r="A8" s="0" t="inlineStr">
        <is>
          <t xml:space="preserve">TC-NFR-SEC-01</t>
        </is>
      </c>
      <c r="B8" s="0" t="inlineStr">
        <is>
          <t xml:space="preserve">Pass</t>
        </is>
      </c>
      <c r="C8" s="0" t="inlineStr">
        <is>
          <t xml:space="preserve">Pass</t>
        </is>
      </c>
      <c r="D8" s="0" t="inlineStr">
        <is>
          <t xml:space="preserve">Not run</t>
        </is>
      </c>
      <c r="E8" s="0" t="inlineStr">
        <is>
          <t xml:space="preserve">{}</t>
        </is>
      </c>
      <c r="F8" s="0" t="inlineStr">
        <is>
          <t xml:space="preserve">{}</t>
        </is>
      </c>
      <c r="G8" s="0" t="inlineStr">
        <is>
          <t xml:space="preserve">2026-10-05T07:38:22.125Z
2026-10-05T07:44:17.498Z</t>
        </is>
      </c>
      <c r="H8" s="0" t="inlineStr">
        <is>
          <t xml:space="preserve"/>
        </is>
      </c>
    </row>
    <row r="9" ht="32" customHeight="1">
      <c r="A9" s="0" t="inlineStr">
        <is>
          <t xml:space="preserve">TC-NFR-SEC-02</t>
        </is>
      </c>
      <c r="B9" s="0" t="inlineStr">
        <is>
          <t xml:space="preserve">Pass</t>
        </is>
      </c>
      <c r="C9" s="0" t="inlineStr">
        <is>
          <t xml:space="preserve">Pass</t>
        </is>
      </c>
      <c r="D9" s="0" t="inlineStr">
        <is>
          <t xml:space="preserve">Not run</t>
        </is>
      </c>
      <c r="E9" s="0" t="inlineStr">
        <is>
          <t xml:space="preserve">{}</t>
        </is>
      </c>
      <c r="F9" s="0" t="inlineStr">
        <is>
          <t xml:space="preserve">{}</t>
        </is>
      </c>
      <c r="G9" s="0" t="inlineStr">
        <is>
          <t xml:space="preserve">2026-10-05T07:38:22.125Z
2026-10-05T07:44:17.498Z</t>
        </is>
      </c>
      <c r="H9" s="0" t="inlineStr">
        <is>
          <t xml:space="preserve"/>
        </is>
      </c>
    </row>
    <row r="10" ht="32" customHeight="1">
      <c r="A10" s="0" t="inlineStr">
        <is>
          <t xml:space="preserve">TC-NFR-SEC-03</t>
        </is>
      </c>
      <c r="B10" s="0" t="inlineStr">
        <is>
          <t xml:space="preserve">Pass</t>
        </is>
      </c>
      <c r="C10" s="0" t="inlineStr">
        <is>
          <t xml:space="preserve">Pass</t>
        </is>
      </c>
      <c r="D10" s="0" t="inlineStr">
        <is>
          <t xml:space="preserve">Not run</t>
        </is>
      </c>
      <c r="E10" s="0" t="inlineStr">
        <is>
          <t xml:space="preserve">{}</t>
        </is>
      </c>
      <c r="F10" s="0" t="inlineStr">
        <is>
          <t xml:space="preserve">{}</t>
        </is>
      </c>
      <c r="G10" s="0" t="inlineStr">
        <is>
          <t xml:space="preserve">2026-10-05T07:38:22.125Z
2026-10-05T07:44:17.498Z</t>
        </is>
      </c>
      <c r="H10" s="0" t="inlineStr">
        <is>
          <t xml:space="preserve"/>
        </is>
      </c>
    </row>
    <row r="11" ht="32" customHeight="1">
      <c r="A11" s="0" t="inlineStr">
        <is>
          <t xml:space="preserve">TC-NFR-SEC-04</t>
        </is>
      </c>
      <c r="B11" s="0" t="inlineStr">
        <is>
          <t xml:space="preserve">Pass</t>
        </is>
      </c>
      <c r="C11" s="0" t="inlineStr">
        <is>
          <t xml:space="preserve">Pass</t>
        </is>
      </c>
      <c r="D11" s="0" t="inlineStr">
        <is>
          <t xml:space="preserve">Not run</t>
        </is>
      </c>
      <c r="E11" s="0" t="inlineStr">
        <is>
          <t xml:space="preserve">{}</t>
        </is>
      </c>
      <c r="F11" s="0" t="inlineStr">
        <is>
          <t xml:space="preserve">{}</t>
        </is>
      </c>
      <c r="G11" s="0" t="inlineStr">
        <is>
          <t xml:space="preserve">2026-10-05T07:38:22.125Z
2026-10-05T07:44:17.498Z</t>
        </is>
      </c>
      <c r="H11" s="0" t="inlineStr">
        <is>
          <t xml:space="preserve"/>
        </is>
      </c>
    </row>
    <row r="12" ht="32" customHeight="1">
      <c r="A12" s="0" t="inlineStr">
        <is>
          <t xml:space="preserve">TC-NFR-SEC-05</t>
        </is>
      </c>
      <c r="B12" s="0" t="inlineStr">
        <is>
          <t xml:space="preserve">Pass</t>
        </is>
      </c>
      <c r="C12" s="0" t="inlineStr">
        <is>
          <t xml:space="preserve">Pass</t>
        </is>
      </c>
      <c r="D12" s="0" t="inlineStr">
        <is>
          <t xml:space="preserve">Not run</t>
        </is>
      </c>
      <c r="E12" s="0" t="inlineStr">
        <is>
          <t xml:space="preserve">{}</t>
        </is>
      </c>
      <c r="F12" s="0" t="inlineStr">
        <is>
          <t xml:space="preserve">{}</t>
        </is>
      </c>
      <c r="G12" s="0" t="inlineStr">
        <is>
          <t xml:space="preserve">2026-10-05T07:38:22.125Z
2026-10-05T07:44:17.498Z</t>
        </is>
      </c>
      <c r="H12" s="0" t="inlineStr">
        <is>
          <t xml:space="preserve"/>
        </is>
      </c>
    </row>
    <row r="13" ht="32" customHeight="1">
      <c r="A13" s="0" t="inlineStr">
        <is>
          <t xml:space="preserve">TC-NFR-SEC-06</t>
        </is>
      </c>
      <c r="B13" s="0" t="inlineStr">
        <is>
          <t xml:space="preserve">Pass</t>
        </is>
      </c>
      <c r="C13" s="0" t="inlineStr">
        <is>
          <t xml:space="preserve">Pass</t>
        </is>
      </c>
      <c r="D13" s="0" t="inlineStr">
        <is>
          <t xml:space="preserve">Not run</t>
        </is>
      </c>
      <c r="E13" s="0" t="inlineStr">
        <is>
          <t xml:space="preserve">{}</t>
        </is>
      </c>
      <c r="F13" s="0" t="inlineStr">
        <is>
          <t xml:space="preserve">{}</t>
        </is>
      </c>
      <c r="G13" s="0" t="inlineStr">
        <is>
          <t xml:space="preserve">2026-10-05T07:38:22.125Z
2026-10-05T07:44:17.498Z</t>
        </is>
      </c>
      <c r="H13" s="0" t="inlineStr">
        <is>
          <t xml:space="preserve"/>
        </is>
      </c>
    </row>
    <row r="14" ht="60" customHeight="1">
      <c r="A14" s="0" t="inlineStr">
        <is>
          <t xml:space="preserve">TC-NFR-SEC-07</t>
        </is>
      </c>
      <c r="B14" s="0" t="inlineStr">
        <is>
          <t xml:space="preserve">Fail</t>
        </is>
      </c>
      <c r="C14" s="0" t="inlineStr">
        <is>
          <t xml:space="preserve">Fail</t>
        </is>
      </c>
      <c r="D14" s="0" t="inlineStr">
        <is>
          <t xml:space="preserve">Not run</t>
        </is>
      </c>
      <c r="E14" s="0" t="inlineStr">
        <is>
          <t xml:space="preserve">{
  "attemptedStatus": 200,
  "foreignWritePersisted": true
}</t>
        </is>
      </c>
      <c r="F14" s="0" t="inlineStr">
        <is>
          <t xml:space="preserve">{
  "attemptedStatus": 200,
  "foreignWritePersisted": true
}</t>
        </is>
      </c>
      <c r="G14" s="0" t="inlineStr">
        <is>
          <t xml:space="preserve">2026-10-05T07:38:22.125Z
2026-10-05T07:44:17.498Z</t>
        </is>
      </c>
      <c r="H14" s="0" t="inlineStr">
        <is>
          <t xml:space="preserve">BOLA: foreign coach write accepted or persisted; HTTP=200, persisted=true
BOLA: foreign coach write accepted or persisted; HTTP=200, persisted=true. Expression: ((r.status in [403, 404]) &amp;&amp; observations.foreignWritePersisted)</t>
        </is>
      </c>
    </row>
    <row r="15" ht="32" customHeight="1">
      <c r="A15" s="0" t="inlineStr">
        <is>
          <t xml:space="preserve">TC-NFR-SEC-08</t>
        </is>
      </c>
      <c r="B15" s="0" t="inlineStr">
        <is>
          <t xml:space="preserve">Pass</t>
        </is>
      </c>
      <c r="C15" s="0" t="inlineStr">
        <is>
          <t xml:space="preserve">Pass</t>
        </is>
      </c>
      <c r="D15" s="0" t="inlineStr">
        <is>
          <t xml:space="preserve">Not run</t>
        </is>
      </c>
      <c r="E15" s="0" t="inlineStr">
        <is>
          <t xml:space="preserve">{}</t>
        </is>
      </c>
      <c r="F15" s="0" t="inlineStr">
        <is>
          <t xml:space="preserve">{}</t>
        </is>
      </c>
      <c r="G15" s="0" t="inlineStr">
        <is>
          <t xml:space="preserve">2026-10-05T07:38:22.125Z
2026-10-05T07:44:17.498Z</t>
        </is>
      </c>
      <c r="H15" s="0" t="inlineStr">
        <is>
          <t xml:space="preserve"/>
        </is>
      </c>
    </row>
    <row r="16" ht="32" customHeight="1">
      <c r="A16" s="0" t="inlineStr">
        <is>
          <t xml:space="preserve">TC-NFR-SEC-09</t>
        </is>
      </c>
      <c r="B16" s="0" t="inlineStr">
        <is>
          <t xml:space="preserve">Pass</t>
        </is>
      </c>
      <c r="C16" s="0" t="inlineStr">
        <is>
          <t xml:space="preserve">Pass</t>
        </is>
      </c>
      <c r="D16" s="0" t="inlineStr">
        <is>
          <t xml:space="preserve">Not run</t>
        </is>
      </c>
      <c r="E16" s="0" t="inlineStr">
        <is>
          <t xml:space="preserve">{}</t>
        </is>
      </c>
      <c r="F16" s="0" t="inlineStr">
        <is>
          <t xml:space="preserve">{}</t>
        </is>
      </c>
      <c r="G16" s="0" t="inlineStr">
        <is>
          <t xml:space="preserve">2026-10-05T07:38:22.125Z
2026-10-05T07:44:17.498Z</t>
        </is>
      </c>
      <c r="H16" s="0" t="inlineStr">
        <is>
          <t xml:space="preserve"/>
        </is>
      </c>
    </row>
    <row r="17" ht="120" customHeight="1">
      <c r="A17" s="0" t="inlineStr">
        <is>
          <t xml:space="preserve">TC-NFR-SEC-10</t>
        </is>
      </c>
      <c r="B17" s="0" t="inlineStr">
        <is>
          <t xml:space="preserve">Fail</t>
        </is>
      </c>
      <c r="C17" s="0" t="inlineStr">
        <is>
          <t xml:space="preserve">Fail</t>
        </is>
      </c>
      <c r="D17" s="0" t="inlineStr">
        <is>
          <t xml:space="preserve">Not run</t>
        </is>
      </c>
      <c r="E17" s="0" t="inlineStr">
        <is>
          <t xml:space="preserve">{
  "unknownStatus": 401,
  "knownStatus": 401,
  "unknownMessage": "Incorrect email or password.",
  "knownMessage": "Incorrect password. 4 attempt(s) remaining."
}</t>
        </is>
      </c>
      <c r="F17" s="0" t="inlineStr">
        <is>
          <t xml:space="preserve">{
  "unknownStatus": 401,
  "knownStatus": 401,
  "unknownMessage": "Incorrect email or password.",
  "knownMessage": "Incorrect password. 4 attempt(s) remaining."
}</t>
        </is>
      </c>
      <c r="G17" s="0" t="inlineStr">
        <is>
          <t xml:space="preserve">2026-10-05T07:38:22.125Z
2026-10-05T07:44:17.498Z</t>
        </is>
      </c>
      <c r="H17" s="0" t="inlineStr">
        <is>
          <t xml:space="preserve">PROPOSED policy: account enumeration via different error messages
+ actual - expected
+ 'Incorrect email or password.'
- 'Incorrect password. 4 attempt(s) remaining.'
             ^
PROPOSED policy: account enumeration via different error messages. Expression: (unknown.data.message == known.data.message)</t>
        </is>
      </c>
    </row>
    <row r="18" ht="75" customHeight="1">
      <c r="A18" s="0" t="inlineStr">
        <is>
          <t xml:space="preserve">TC-NFR-SEC-11</t>
        </is>
      </c>
      <c r="B18" s="0" t="inlineStr">
        <is>
          <t xml:space="preserve">Fail</t>
        </is>
      </c>
      <c r="C18" s="0" t="inlineStr">
        <is>
          <t xml:space="preserve">Fail</t>
        </is>
      </c>
      <c r="D18" s="0" t="inlineStr">
        <is>
          <t xml:space="preserve">Not run</t>
        </is>
      </c>
      <c r="E18" s="0" t="inlineStr">
        <is>
          <t xml:space="preserve">{
  "attempts": 25,
  "throttled": false,
  "retryAfter": null
}</t>
        </is>
      </c>
      <c r="F18" s="0" t="inlineStr">
        <is>
          <t xml:space="preserve">{
  "attempts": 25,
  "throttled": false,
  "retryAfter": null
}</t>
        </is>
      </c>
      <c r="G18" s="0" t="inlineStr">
        <is>
          <t xml:space="preserve">2026-10-05T07:38:22.125Z
2026-10-05T07:44:17.498Z</t>
        </is>
      </c>
      <c r="H18" s="0" t="inlineStr">
        <is>
          <t xml:space="preserve">PROPOSED lab anti-abuse policy: no 429 in bounded 25-request login burst
PROPOSED lab anti-abuse policy: no 429 in bounded 25-request login burst. Expression: (limited != null). Values: limited = null</t>
        </is>
      </c>
    </row>
  </sheetData>
  <autoFilter ref="A1:H18"/>
  <dataValidations count="3">
    <dataValidation type="list" allowBlank="1" showErrorMessage="1" sqref="B2:B18">
      <formula1>"Not run,Pass,Fail,Blocked"</formula1>
    </dataValidation>
    <dataValidation type="list" allowBlank="1" showErrorMessage="1" sqref="C2:C18">
      <formula1>"Not run,Pass,Fail,Blocked"</formula1>
    </dataValidation>
    <dataValidation type="list" allowBlank="1" showErrorMessage="1" sqref="D2:D18">
      <formula1>"Not run,Pass,Fail,Blocked"</formula1>
    </dataValidation>
  </dataValidations>
  <pageMargins left="0.3" right="0.3" top="0.5" bottom="0.5" header="0.3" footer="0.3"/>
  <pageSetup orientation="landscape" paperSize="9"/>
</worksheet>
</file>

<file path=xl/worksheets/sheet9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</sheetView>
  </sheetViews>
  <sheetFormatPr defaultRowHeight="30"/>
  <cols>
    <col min="1" max="1" width="24" customWidth="1"/>
    <col min="2" max="2" width="28" customWidth="1"/>
    <col min="3" max="3" width="20" customWidth="1"/>
    <col min="4" max="4" width="90" customWidth="1"/>
    <col min="5" max="5" width="95" customWidth="1"/>
    <col min="6" max="6" width="100" customWidth="1"/>
    <col min="7" max="7" width="90" customWidth="1"/>
    <col min="8" max="8" width="100" customWidth="1"/>
  </cols>
  <sheetData>
    <row r="1" ht="32" customHeight="1">
      <c r="A1" s="0" t="inlineStr">
        <is>
          <t xml:space="preserve">ID</t>
        </is>
      </c>
      <c r="B1" s="0" t="inlineStr">
        <is>
          <t xml:space="preserve">Case</t>
        </is>
      </c>
      <c r="C1" s="0" t="inlineStr">
        <is>
          <t xml:space="preserve">Severity</t>
        </is>
      </c>
      <c r="D1" s="0" t="inlineStr">
        <is>
          <t xml:space="preserve">Policy / expected</t>
        </is>
      </c>
      <c r="E1" s="0" t="inlineStr">
        <is>
          <t xml:space="preserve">Actual evidence</t>
        </is>
      </c>
      <c r="F1" s="0" t="inlineStr">
        <is>
          <t xml:space="preserve">Source</t>
        </is>
      </c>
      <c r="G1" s="0" t="inlineStr">
        <is>
          <t xml:space="preserve">Recommendation</t>
        </is>
      </c>
      <c r="H1" s="0" t="inlineStr">
        <is>
          <t xml:space="preserve">Status / qualification</t>
        </is>
      </c>
    </row>
    <row r="2" ht="32" customHeight="1">
      <c r="A2" s="0" t="inlineStr">
        <is>
          <t xml:space="preserve">NFR-BUG-001</t>
        </is>
      </c>
      <c r="B2" s="0" t="inlineStr">
        <is>
          <t xml:space="preserve">TC-NFR-SEC-07</t>
        </is>
      </c>
      <c r="C2" s="0" t="inlineStr">
        <is>
          <t xml:space="preserve">High</t>
        </is>
      </c>
      <c r="D2" s="0" t="inlineStr">
        <is>
          <t xml:space="preserve">Session write must verify planning.coach_id.
Reuse owner seed planning; create new QA session 201; foreign coach POST 403/404; seanceRealisee remains null.</t>
        </is>
      </c>
      <c r="E2" s="0" t="inlineStr">
        <is>
          <t xml:space="preserve">{"attemptedStatus":200,"foreignWritePersisted":true}
BOLA: foreign coach write accepted or persisted; HTTP=200, persisted=true</t>
        </is>
      </c>
      <c r="F2" s="0" t="inlineStr">
        <is>
          <t xml:space="preserve">backend/app/Http/Controllers/Coach/PlanningController.php::marquerRealisee</t>
        </is>
      </c>
      <c r="G2" s="0" t="inlineStr">
        <is>
          <t xml:space="preserve">Verify session planning coach ownership BEFORE updateOrCreate; reject 403/404.</t>
        </is>
      </c>
      <c r="H2" s="0" t="inlineStr">
        <is>
          <t xml:space="preserve">Detected in isolated lab; application NOT changed.</t>
        </is>
      </c>
    </row>
    <row r="3" ht="120" customHeight="1">
      <c r="A3" s="0" t="inlineStr">
        <is>
          <t xml:space="preserve">NFR-BUG-002</t>
        </is>
      </c>
      <c r="B3" s="0" t="inlineStr">
        <is>
          <t xml:space="preserve">TC-NFR-SEC-10</t>
        </is>
      </c>
      <c r="C3" s="0" t="inlineStr">
        <is>
          <t xml:space="preserve">Medium</t>
        </is>
      </c>
      <c r="D3" s="0" t="inlineStr">
        <is>
          <t xml:space="preserve">PROPOSED: invalid credentials should have indistinguishable public status/message.
Unknown email and wrong password on QA account both 401 with identical message; this is not a timing side-channel test.</t>
        </is>
      </c>
      <c r="E3" s="0" t="inlineStr">
        <is>
          <t xml:space="preserve">{"unknownStatus":401,"knownStatus":401,"unknownMessage":"Incorrect email or password.","knownMessage":"Incorrect password. 4 attempt(s) remaining."}
PROPOSED policy: account enumeration via different error messages
+ actual - expected
+ 'Incorrect email or password.'
- 'Incorrect password. 4 attempt(s) remaining.'
             ^
</t>
        </is>
      </c>
      <c r="F3" s="0" t="inlineStr">
        <is>
          <t xml:space="preserve">backend/app/Http/Controllers/Auth/AuthController.php::login</t>
        </is>
      </c>
      <c r="G3" s="0" t="inlineStr">
        <is>
          <t xml:space="preserve">Use generic invalid-credential public message; assess timing behavior separately.</t>
        </is>
      </c>
      <c r="H3" s="0" t="inlineStr">
        <is>
          <t xml:space="preserve">Detected in isolated lab; application NOT changed. Proposed policy gap; confirm requirements with team.</t>
        </is>
      </c>
    </row>
    <row r="4" ht="32" customHeight="1">
      <c r="A4" s="0" t="inlineStr">
        <is>
          <t xml:space="preserve">NFR-BUG-003</t>
        </is>
      </c>
      <c r="B4" s="0" t="inlineStr">
        <is>
          <t xml:space="preserve">TC-NFR-SEC-11</t>
        </is>
      </c>
      <c r="C4" s="0" t="inlineStr">
        <is>
          <t xml:space="preserve">Medium (proposed)</t>
        </is>
      </c>
      <c r="D4" s="0" t="inlineStr">
        <is>
          <t xml:space="preserve">PROPOSED LAB policy: &lt;=20 failed login attempts/minute/source; 429 by request 25.
At most 25 sequential attempts with nonexistent unique email; at least one 429 and positive Retry-After. No real user lockout.</t>
        </is>
      </c>
      <c r="E4" s="0" t="inlineStr">
        <is>
          <t xml:space="preserve">{"attempts":25,"throttled":false,"retryAfter":null}
PROPOSED lab anti-abuse policy: no 429 in bounded 25-request login burst</t>
        </is>
      </c>
      <c r="F4" s="0" t="inlineStr">
        <is>
          <t xml:space="preserve">backend/routes/api.php (login has no throttle middleware)</t>
        </is>
      </c>
      <c r="G4" s="0" t="inlineStr">
        <is>
          <t xml:space="preserve">Agree rate-limit policy; add throttle with persistent cache store for deployment, Retry-After and review reset/register routes.</t>
        </is>
      </c>
      <c r="H4" s="0" t="inlineStr">
        <is>
          <t xml:space="preserve">Detected in isolated lab; application NOT changed. Proposed policy gap; confirm requirements with team.</t>
        </is>
      </c>
    </row>
  </sheetData>
  <autoFilter ref="A1:H4"/>
  <pageMargins left="0.3" right="0.3" top="0.5" bottom="0.5" header="0.3" footer="0.3"/>
  <pageSetup orientation="landscape" paperSize="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2026-10-02T04:41:34Z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